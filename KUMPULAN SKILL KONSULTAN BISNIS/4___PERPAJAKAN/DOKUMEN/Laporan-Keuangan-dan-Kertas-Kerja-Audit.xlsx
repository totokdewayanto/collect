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Laporan Keuangan" sheetId="2" state="visible" r:id="rId2"/>
    <sheet xmlns:r="http://schemas.openxmlformats.org/officeDocument/2006/relationships" name="Ekualisasi PPN" sheetId="3" state="visible" r:id="rId3"/>
    <sheet xmlns:r="http://schemas.openxmlformats.org/officeDocument/2006/relationships" name="Ekualisasi PPh" sheetId="4" state="visible" r:id="rId4"/>
    <sheet xmlns:r="http://schemas.openxmlformats.org/officeDocument/2006/relationships" name="Kunci Jawaban &amp; Rubri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 &quot;#,##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i val="1"/>
      <sz val="10"/>
    </font>
    <font>
      <name val="Calibri"/>
      <b val="1"/>
      <color rgb="001F4E79"/>
      <sz val="14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4" borderId="0" pivotButton="0" quotePrefix="0" xfId="0"/>
    <xf numFmtId="164" fontId="4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164" fontId="4" fillId="4" borderId="0" pivotButton="0" quotePrefix="0" xfId="0"/>
    <xf numFmtId="0" fontId="4" fillId="4" borderId="1" pivotButton="0" quotePrefix="0" xfId="0"/>
    <xf numFmtId="164" fontId="5" fillId="0" borderId="0" pivotButton="0" quotePrefix="0" xfId="0"/>
    <xf numFmtId="164" fontId="4" fillId="0" borderId="0" pivotButton="0" quotePrefix="0" xfId="0"/>
    <xf numFmtId="164" fontId="4" fillId="5" borderId="0" pivotButton="0" quotePrefix="0" xfId="0"/>
    <xf numFmtId="165" fontId="5" fillId="0" borderId="0" pivotButton="0" quotePrefix="0" xfId="0"/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69" customWidth="1" min="2" max="2"/>
    <col width="26" customWidth="1" min="3" max="3"/>
    <col width="23" customWidth="1" min="4" max="4"/>
    <col width="19" customWidth="1" min="5" max="5"/>
    <col width="22" customWidth="1" min="6" max="6"/>
    <col width="48" customWidth="1" min="7" max="7"/>
  </cols>
  <sheetData>
    <row r="1">
      <c r="A1" s="1" t="inlineStr">
        <is>
          <t>PT SERBA ADA SEJAHTERA (ANN ARBOR SUPERMARKET &amp; PHARMACY)</t>
        </is>
      </c>
    </row>
    <row r="2">
      <c r="A2" s="2" t="inlineStr">
        <is>
          <t>EXECUTIVE BRIEFING &amp; RINGKASAN TEMUAN AUDIT PERPAJAKAN TAHUN 2025</t>
        </is>
      </c>
    </row>
    <row r="3"/>
    <row r="4">
      <c r="A4" s="3" t="inlineStr">
        <is>
          <t>INFORMASI ENTITAS &amp; KASUS AUDIT</t>
        </is>
      </c>
    </row>
    <row r="5">
      <c r="A5" s="4" t="inlineStr">
        <is>
          <t>Nama Wajib Pajak</t>
        </is>
      </c>
      <c r="B5" s="5" t="inlineStr">
        <is>
          <t>PT Serba Ada Sejahtera (Ann Arbor Supermarket &amp; Apotek)</t>
        </is>
      </c>
    </row>
    <row r="6">
      <c r="A6" s="4" t="inlineStr">
        <is>
          <t>NPWP / NIK</t>
        </is>
      </c>
      <c r="B6" s="5" t="inlineStr">
        <is>
          <t>01.345.678.9-012.000</t>
        </is>
      </c>
    </row>
    <row r="7">
      <c r="A7" s="4" t="inlineStr">
        <is>
          <t>Jenis Usaha Utama</t>
        </is>
      </c>
      <c r="B7" s="5" t="inlineStr">
        <is>
          <t>Supermarket Ritel &amp; Unit Baru Apotek (Pharmacy Addition - Kasus 6)</t>
        </is>
      </c>
    </row>
    <row r="8">
      <c r="A8" s="4" t="inlineStr">
        <is>
          <t>Masa / Tahun Pajak</t>
        </is>
      </c>
      <c r="B8" s="5" t="inlineStr">
        <is>
          <t>Januari - Desember 2025</t>
        </is>
      </c>
    </row>
    <row r="9">
      <c r="A9" s="4" t="inlineStr">
        <is>
          <t>Nomor SP2DK DJP</t>
        </is>
      </c>
      <c r="B9" s="5" t="inlineStr">
        <is>
          <t>S-892/WPJ.07/KP.04/2026 (KPP Madya Jakarta)</t>
        </is>
      </c>
    </row>
    <row r="10">
      <c r="A10" s="4" t="inlineStr">
        <is>
          <t>Nilai Investasi Apotek</t>
        </is>
      </c>
      <c r="B10" s="5" t="inlineStr">
        <is>
          <t>Rp 18.000.000.000 ($1.200.000 USD @ Rp 15.000)</t>
        </is>
      </c>
    </row>
    <row r="11">
      <c r="A11" s="4" t="inlineStr">
        <is>
          <t>Jumlah Pelanggan Bulanan</t>
        </is>
      </c>
      <c r="B11" s="5" t="inlineStr">
        <is>
          <t>10.000 Pelanggan Unik (8.750 Memiliki Kebutuhan Resep / Obat)</t>
        </is>
      </c>
    </row>
    <row r="12"/>
    <row r="13">
      <c r="A13" s="3" t="inlineStr">
        <is>
          <t>RINGKASAN POTENSI KURANG BAYAR PAJAK HASIL AUDIT</t>
        </is>
      </c>
    </row>
    <row r="14">
      <c r="A14" s="6" t="inlineStr">
        <is>
          <t>Jenis Pajak</t>
        </is>
      </c>
      <c r="B14" s="6" t="inlineStr">
        <is>
          <t>Pokok Pajak SPT</t>
        </is>
      </c>
      <c r="C14" s="6" t="inlineStr">
        <is>
          <t>Pokok Pajak Audit</t>
        </is>
      </c>
      <c r="D14" s="6" t="inlineStr">
        <is>
          <t>Kurang Bayar (Pokok)</t>
        </is>
      </c>
      <c r="E14" s="6" t="inlineStr">
        <is>
          <t>Sanksi KUP Bunga</t>
        </is>
      </c>
      <c r="F14" s="6" t="inlineStr">
        <is>
          <t>Total Tagihan Pajak</t>
        </is>
      </c>
      <c r="G14" s="6" t="inlineStr">
        <is>
          <t>Keterangan Ringkas</t>
        </is>
      </c>
    </row>
    <row r="15">
      <c r="A15" s="7" t="inlineStr">
        <is>
          <t>PPN Penyerahan Apotek &amp; Supermarket</t>
        </is>
      </c>
      <c r="B15" s="8">
        <f>'Ekualisasi PPN'!C7*0.11</f>
        <v/>
      </c>
      <c r="C15" s="8">
        <f>'Ekualisasi PPN'!F7</f>
        <v/>
      </c>
      <c r="D15" s="8">
        <f>C15-B15</f>
        <v/>
      </c>
      <c r="E15" s="8">
        <f>D15*0.14</f>
        <v/>
      </c>
      <c r="F15" s="8">
        <f>D15+E15</f>
        <v/>
      </c>
      <c r="G15" s="9" t="inlineStr">
        <is>
          <t>Koreksi Omzet Apotek OTC &amp; Obat Resep</t>
        </is>
      </c>
    </row>
    <row r="16">
      <c r="A16" s="7" t="inlineStr">
        <is>
          <t>PPh Pasal 21 Dokter &amp; Apoteker</t>
        </is>
      </c>
      <c r="B16" s="8">
        <f>'Ekualisasi PPh'!E8</f>
        <v/>
      </c>
      <c r="C16" s="8">
        <f>'Ekualisasi PPh'!F8</f>
        <v/>
      </c>
      <c r="D16" s="8">
        <f>C16-B16</f>
        <v/>
      </c>
      <c r="E16" s="8">
        <f>D16*0.14</f>
        <v/>
      </c>
      <c r="F16" s="8">
        <f>D16+E16</f>
        <v/>
      </c>
      <c r="G16" s="9" t="inlineStr">
        <is>
          <t>Rekonsiliasi Pemisahan Jasa Medis Dokter</t>
        </is>
      </c>
    </row>
    <row r="17">
      <c r="A17" s="7" t="inlineStr">
        <is>
          <t>PPh Pasal 23 KSO Alat Cek Medis</t>
        </is>
      </c>
      <c r="B17" s="8">
        <f>'Ekualisasi PPh'!E16</f>
        <v/>
      </c>
      <c r="C17" s="8">
        <f>'Ekualisasi PPh'!F16</f>
        <v/>
      </c>
      <c r="D17" s="8">
        <f>C17-B17</f>
        <v/>
      </c>
      <c r="E17" s="8">
        <f>D17*0.14</f>
        <v/>
      </c>
      <c r="F17" s="8">
        <f>D17+E17</f>
        <v/>
      </c>
      <c r="G17" s="9" t="inlineStr">
        <is>
          <t>Pemotongan 2% atas Bagi Hasil KSO</t>
        </is>
      </c>
    </row>
    <row r="18">
      <c r="A18" s="7" t="inlineStr">
        <is>
          <t>PPh Pasal 4(2) Sewa Booth Apotek</t>
        </is>
      </c>
      <c r="B18" s="8">
        <f>'Ekualisasi PPh'!E23</f>
        <v/>
      </c>
      <c r="C18" s="8">
        <f>'Ekualisasi PPh'!F23</f>
        <v/>
      </c>
      <c r="D18" s="8">
        <f>C18-B18</f>
        <v/>
      </c>
      <c r="E18" s="8">
        <f>D18*0.14</f>
        <v/>
      </c>
      <c r="F18" s="8">
        <f>D18+E18</f>
        <v/>
      </c>
      <c r="G18" s="9" t="inlineStr">
        <is>
          <t>Sewa Ruangan Booth Apotek &amp; Kantin 10%</t>
        </is>
      </c>
    </row>
    <row r="19">
      <c r="A19" s="7" t="inlineStr">
        <is>
          <t>PPh Badan (Tahunan 2025)</t>
        </is>
      </c>
      <c r="B19" s="8">
        <f>'Laporan Keuangan'!B24</f>
        <v/>
      </c>
      <c r="C19" s="8">
        <f>'Laporan Keuangan'!E24</f>
        <v/>
      </c>
      <c r="D19" s="8">
        <f>C19-B19</f>
        <v/>
      </c>
      <c r="E19" s="8">
        <f>D19*0.02</f>
        <v/>
      </c>
      <c r="F19" s="8">
        <f>D19+E19</f>
        <v/>
      </c>
      <c r="G19" s="9" t="inlineStr">
        <is>
          <t>Koreksi Kapitalisasi Amortisasi Investasi 18M</t>
        </is>
      </c>
    </row>
    <row r="20">
      <c r="A20" s="10" t="inlineStr">
        <is>
          <t>TOTAL POTENSI PAJAK &amp; SANKSI</t>
        </is>
      </c>
      <c r="B20" s="11">
        <f>SUM(B15:B19)</f>
        <v/>
      </c>
      <c r="C20" s="11">
        <f>SUM(C15:C19)</f>
        <v/>
      </c>
      <c r="D20" s="11">
        <f>SUM(D15:D19)</f>
        <v/>
      </c>
      <c r="E20" s="11">
        <f>SUM(E15:E19)</f>
        <v/>
      </c>
      <c r="F20" s="11">
        <f>SUM(F15:F19)</f>
        <v/>
      </c>
      <c r="G20" s="12" t="inlineStr">
        <is>
          <t>Rekomendasi Pembayaran &amp; Tanggapan SP2DK</t>
        </is>
      </c>
    </row>
  </sheetData>
  <mergeCells count="11">
    <mergeCell ref="A13:G13"/>
    <mergeCell ref="B10:G10"/>
    <mergeCell ref="A1:G1"/>
    <mergeCell ref="B5:G5"/>
    <mergeCell ref="B9:G9"/>
    <mergeCell ref="A4:G4"/>
    <mergeCell ref="B8:G8"/>
    <mergeCell ref="A2:G2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20" customWidth="1" min="2" max="2"/>
    <col width="19" customWidth="1" min="3" max="3"/>
    <col width="20" customWidth="1" min="4" max="4"/>
    <col width="23" customWidth="1" min="5" max="5"/>
  </cols>
  <sheetData>
    <row r="1">
      <c r="A1" s="13" t="inlineStr">
        <is>
          <t>PT SERBA ADA SEJAHTERA</t>
        </is>
      </c>
    </row>
    <row r="2">
      <c r="A2" s="4" t="inlineStr">
        <is>
          <t>LAPORAN LABA RUGI DEDUKSI FISKAL (SEBELUM VS SESUDAH AUDIT) TAHUN 2025</t>
        </is>
      </c>
    </row>
    <row r="3"/>
    <row r="4">
      <c r="A4" s="6" t="inlineStr">
        <is>
          <t>Komponen Laba Rugi</t>
        </is>
      </c>
      <c r="B4" s="6" t="inlineStr">
        <is>
          <t>Komersial (SPT)</t>
        </is>
      </c>
      <c r="C4" s="6" t="inlineStr">
        <is>
          <t>Koreksi Positif</t>
        </is>
      </c>
      <c r="D4" s="6" t="inlineStr">
        <is>
          <t>Koreksi Negatif</t>
        </is>
      </c>
      <c r="E4" s="6" t="inlineStr">
        <is>
          <t>Fiskal (Hasil Audit)</t>
        </is>
      </c>
    </row>
    <row r="5">
      <c r="A5" t="inlineStr">
        <is>
          <t>Penjualan Supermarket (Ritel)</t>
        </is>
      </c>
      <c r="B5" s="14" t="n">
        <v>45000000000</v>
      </c>
      <c r="C5" s="14" t="n">
        <v>0</v>
      </c>
      <c r="D5" s="14" t="n">
        <v>0</v>
      </c>
      <c r="E5" s="14">
        <f>B5+C5-D5</f>
        <v/>
      </c>
    </row>
    <row r="6">
      <c r="A6" t="inlineStr">
        <is>
          <t>Penjualan Apotek - OTC (Obat Bebas)</t>
        </is>
      </c>
      <c r="B6" s="14" t="n">
        <v>8000000000</v>
      </c>
      <c r="C6" s="14" t="n">
        <v>0</v>
      </c>
      <c r="D6" s="14" t="n">
        <v>0</v>
      </c>
      <c r="E6" s="14">
        <f>B6+C6-D6</f>
        <v/>
      </c>
    </row>
    <row r="7">
      <c r="A7" t="inlineStr">
        <is>
          <t>Penjualan Apotek - Resep Dokter</t>
        </is>
      </c>
      <c r="B7" s="14" t="n">
        <v>4000000000</v>
      </c>
      <c r="C7" s="14" t="n">
        <v>0</v>
      </c>
      <c r="D7" s="14" t="n">
        <v>0</v>
      </c>
      <c r="E7" s="14">
        <f>B7+C7-D7</f>
        <v/>
      </c>
    </row>
    <row r="8">
      <c r="A8" s="10" t="inlineStr">
        <is>
          <t>TOTAL PENDAPATAN BRUTO</t>
        </is>
      </c>
      <c r="B8" s="15">
        <f>SUM(B5:B7)</f>
        <v/>
      </c>
      <c r="C8" s="15">
        <f>SUM(C5:C7)</f>
        <v/>
      </c>
      <c r="D8" s="15">
        <f>SUM(D5:D7)</f>
        <v/>
      </c>
      <c r="E8" s="15">
        <f>SUM(E5:E7)</f>
        <v/>
      </c>
    </row>
    <row r="9">
      <c r="A9" t="inlineStr">
        <is>
          <t>Beban Pokok Penjualan (HPP) Supermarket</t>
        </is>
      </c>
      <c r="B9" s="14" t="n">
        <v>31500000000</v>
      </c>
      <c r="C9" s="14" t="n">
        <v>0</v>
      </c>
      <c r="D9" s="14" t="n">
        <v>0</v>
      </c>
      <c r="E9" s="14">
        <f>B9+C9-D9</f>
        <v/>
      </c>
    </row>
    <row r="10">
      <c r="A10" t="inlineStr">
        <is>
          <t>Beban Pokok Penjualan (HPP) Apotek</t>
        </is>
      </c>
      <c r="B10" s="14" t="n">
        <v>8400000000</v>
      </c>
      <c r="C10" s="14" t="n">
        <v>0</v>
      </c>
      <c r="D10" s="14" t="n">
        <v>0</v>
      </c>
      <c r="E10" s="14">
        <f>B10+C10-D10</f>
        <v/>
      </c>
    </row>
    <row r="11">
      <c r="A11" s="10" t="inlineStr">
        <is>
          <t>LABA KOTOR BRUTO</t>
        </is>
      </c>
      <c r="B11" s="15">
        <f>B8-B9-B10</f>
        <v/>
      </c>
      <c r="C11" s="15">
        <f>C8-C9-C10</f>
        <v/>
      </c>
      <c r="D11" s="15">
        <f>D8-D9-D10</f>
        <v/>
      </c>
      <c r="E11" s="15">
        <f>E8-E9-E10</f>
        <v/>
      </c>
    </row>
    <row r="12">
      <c r="A12" t="inlineStr">
        <is>
          <t>Beban Operasional Gaji &amp; Tunjangan Staff</t>
        </is>
      </c>
      <c r="B12" s="14" t="n">
        <v>4200000000</v>
      </c>
      <c r="C12" s="14" t="n">
        <v>0</v>
      </c>
      <c r="D12" s="14" t="n">
        <v>0</v>
      </c>
      <c r="E12" s="14">
        <f>B12+C12-D12</f>
        <v/>
      </c>
    </row>
    <row r="13">
      <c r="A13" t="inlineStr">
        <is>
          <t>Jasa Medis Dokter &amp; Honor Apoteker</t>
        </is>
      </c>
      <c r="B13" s="14" t="n">
        <v>1500000000</v>
      </c>
      <c r="C13" s="14" t="n">
        <v>0</v>
      </c>
      <c r="D13" s="14" t="n">
        <v>0</v>
      </c>
      <c r="E13" s="14">
        <f>B13+C13-D13</f>
        <v/>
      </c>
    </row>
    <row r="14">
      <c r="A14" t="inlineStr">
        <is>
          <t>Beban Investasi Awal Apotek (Di-OpEx-kan Klien)</t>
        </is>
      </c>
      <c r="B14" s="14" t="n">
        <v>18000000000</v>
      </c>
      <c r="C14" s="14" t="n">
        <v>0</v>
      </c>
      <c r="D14" s="14" t="n">
        <v>18000000000</v>
      </c>
      <c r="E14" s="14">
        <f>B14+C14-D14</f>
        <v/>
      </c>
    </row>
    <row r="15">
      <c r="A15" t="inlineStr">
        <is>
          <t>Beban Amortisasi Harta Tak Berwujud / Renovasi</t>
        </is>
      </c>
      <c r="B15" s="14" t="n">
        <v>0</v>
      </c>
      <c r="C15" s="14" t="n">
        <v>4500000000</v>
      </c>
      <c r="D15" s="14" t="n">
        <v>0</v>
      </c>
      <c r="E15" s="14">
        <f>B15+C15-D15</f>
        <v/>
      </c>
    </row>
    <row r="16">
      <c r="A16" t="inlineStr">
        <is>
          <t>Beban Sewa &amp; Utility Supermarket</t>
        </is>
      </c>
      <c r="B16" s="14" t="n">
        <v>1200000000</v>
      </c>
      <c r="C16" s="14" t="n">
        <v>0</v>
      </c>
      <c r="D16" s="14" t="n">
        <v>0</v>
      </c>
      <c r="E16" s="14">
        <f>B16+C16-D16</f>
        <v/>
      </c>
    </row>
    <row r="17">
      <c r="A17" t="inlineStr">
        <is>
          <t>Beban Promosi &amp; Pemasaran (Tanpa Daftar Nominatif)</t>
        </is>
      </c>
      <c r="B17" s="14" t="n">
        <v>800000000</v>
      </c>
      <c r="C17" s="14" t="n">
        <v>800000000</v>
      </c>
      <c r="D17" s="14" t="n">
        <v>0</v>
      </c>
      <c r="E17" s="14">
        <f>B17+C17-D17</f>
        <v/>
      </c>
    </row>
    <row r="18">
      <c r="A18" t="inlineStr">
        <is>
          <t>Beban Operasional Lainnya</t>
        </is>
      </c>
      <c r="B18" s="14" t="n">
        <v>600000000</v>
      </c>
      <c r="C18" s="14" t="n">
        <v>0</v>
      </c>
      <c r="D18" s="14" t="n">
        <v>0</v>
      </c>
      <c r="E18" s="14">
        <f>B18+C18-D18</f>
        <v/>
      </c>
    </row>
    <row r="19">
      <c r="A19" s="10" t="inlineStr">
        <is>
          <t>TOTAL BEBAN OPERASIONAL</t>
        </is>
      </c>
      <c r="B19" s="15">
        <f>SUM(B12:B18)</f>
        <v/>
      </c>
      <c r="C19" s="15">
        <f>SUM(C12:C18)</f>
        <v/>
      </c>
      <c r="D19" s="15">
        <f>SUM(D12:D18)</f>
        <v/>
      </c>
      <c r="E19" s="15">
        <f>SUM(E12:E18)</f>
        <v/>
      </c>
    </row>
    <row r="20">
      <c r="A20" s="10" t="inlineStr">
        <is>
          <t>LABA OPERASIONAL (EBIT)</t>
        </is>
      </c>
      <c r="B20" s="15">
        <f>B11-B19</f>
        <v/>
      </c>
      <c r="C20" s="15">
        <f>C11-C19</f>
        <v/>
      </c>
      <c r="D20" s="15">
        <f>D11-D19</f>
        <v/>
      </c>
      <c r="E20" s="15">
        <f>E11-E19</f>
        <v/>
      </c>
    </row>
    <row r="21">
      <c r="A21" t="inlineStr">
        <is>
          <t>Pendapatan Lain-Lain (Sewa Space Kantin &amp; ATM)</t>
        </is>
      </c>
      <c r="B21" s="14" t="n">
        <v>450000000</v>
      </c>
      <c r="C21" s="14" t="n">
        <v>0</v>
      </c>
      <c r="D21" s="14" t="n">
        <v>450000000</v>
      </c>
      <c r="E21" s="14">
        <f>B21+C21-D21</f>
        <v/>
      </c>
    </row>
    <row r="22">
      <c r="A22" s="10" t="inlineStr">
        <is>
          <t>LABA SEBELUM PAJAK (EBT)</t>
        </is>
      </c>
      <c r="B22" s="15">
        <f>B20+B21</f>
        <v/>
      </c>
      <c r="C22" s="15">
        <f>C20+C21</f>
        <v/>
      </c>
      <c r="D22" s="15">
        <f>D20+D21</f>
        <v/>
      </c>
      <c r="E22" s="15">
        <f>E20+E21</f>
        <v/>
      </c>
    </row>
    <row r="23">
      <c r="A23" t="inlineStr">
        <is>
          <t>Penghasilan Kena Pajak (PKP)</t>
        </is>
      </c>
      <c r="B23" s="14">
        <f>B22</f>
        <v/>
      </c>
      <c r="C23" s="14" t="n">
        <v>0</v>
      </c>
      <c r="D23" s="14" t="n">
        <v>0</v>
      </c>
      <c r="E23" s="14">
        <f>E22</f>
        <v/>
      </c>
    </row>
    <row r="24">
      <c r="A24" s="16" t="inlineStr">
        <is>
          <t>PPh Badan Terutang (Tarif 22%)</t>
        </is>
      </c>
      <c r="B24" s="15">
        <f>B23*0.22</f>
        <v/>
      </c>
      <c r="C24" s="15" t="n">
        <v>0</v>
      </c>
      <c r="D24" s="15" t="n">
        <v>0</v>
      </c>
      <c r="E24" s="11">
        <f>E23*0.22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29" customWidth="1" min="2" max="2"/>
    <col width="19" customWidth="1" min="3" max="3"/>
    <col width="16" customWidth="1" min="4" max="4"/>
    <col width="22" customWidth="1" min="5" max="5"/>
    <col width="30" customWidth="1" min="6" max="6"/>
  </cols>
  <sheetData>
    <row r="1">
      <c r="A1" s="13" t="inlineStr">
        <is>
          <t>KERTAS KERJA AUDIT EKUALISASI PPN PENYERAHAN SUPERMARKET &amp; APOTEK</t>
        </is>
      </c>
    </row>
    <row r="2"/>
    <row r="3">
      <c r="A3" s="6" t="inlineStr">
        <is>
          <t>Kategori Penyerahan / Omzet</t>
        </is>
      </c>
      <c r="B3" s="6" t="inlineStr">
        <is>
          <t>Nilai Bruto (Inklusif PPN)</t>
        </is>
      </c>
      <c r="C3" s="6" t="inlineStr">
        <is>
          <t>DPP PPN SPT Masa</t>
        </is>
      </c>
      <c r="D3" s="6" t="inlineStr">
        <is>
          <t>DPP PPN Audit</t>
        </is>
      </c>
      <c r="E3" s="6" t="inlineStr">
        <is>
          <t>Selisih DPP Koreksi</t>
        </is>
      </c>
      <c r="F3" s="6" t="inlineStr">
        <is>
          <t>PPN Keluaran Terutang (11%)</t>
        </is>
      </c>
    </row>
    <row r="4">
      <c r="A4" s="5" t="inlineStr">
        <is>
          <t>Penjualan Supermarket (Ritel BKP - E-Faktur Digabung)</t>
        </is>
      </c>
      <c r="B4" s="17" t="n">
        <v>45000000000</v>
      </c>
      <c r="C4" s="17">
        <f>(100/111)*B4</f>
        <v/>
      </c>
      <c r="D4" s="17">
        <f>(100/111)*B4</f>
        <v/>
      </c>
      <c r="E4" s="17">
        <f>D4-C4</f>
        <v/>
      </c>
      <c r="F4" s="17">
        <f>11%*D4</f>
        <v/>
      </c>
    </row>
    <row r="5">
      <c r="A5" s="5" t="inlineStr">
        <is>
          <t>Penjualan Apotek - OTC (Obat Bebas Ritel BKP)</t>
        </is>
      </c>
      <c r="B5" s="17" t="n">
        <v>8000000000</v>
      </c>
      <c r="C5" s="17" t="n">
        <v>7207207207</v>
      </c>
      <c r="D5" s="17">
        <f>(100/111)*B5</f>
        <v/>
      </c>
      <c r="E5" s="17">
        <f>D5-C5</f>
        <v/>
      </c>
      <c r="F5" s="17">
        <f>11%*D5</f>
        <v/>
      </c>
    </row>
    <row r="6">
      <c r="A6" s="5" t="inlineStr">
        <is>
          <t>Penjualan Apotek - Obat Resep Dokter (Diakui Non-BKP oleh Klien)</t>
        </is>
      </c>
      <c r="B6" s="17" t="n">
        <v>4000000000</v>
      </c>
      <c r="C6" s="17" t="n">
        <v>0</v>
      </c>
      <c r="D6" s="17">
        <f>(100/111)*B6</f>
        <v/>
      </c>
      <c r="E6" s="17">
        <f>D6-C6</f>
        <v/>
      </c>
      <c r="F6" s="17">
        <f>11%*D6</f>
        <v/>
      </c>
    </row>
    <row r="7">
      <c r="A7" s="10" t="inlineStr">
        <is>
          <t>TOTAL PENYERAHAN BKP APOTEK &amp; SUPERMARKET</t>
        </is>
      </c>
      <c r="B7" s="15">
        <f>SUM(B4:B6)</f>
        <v/>
      </c>
      <c r="C7" s="15">
        <f>SUM(C4:C6)</f>
        <v/>
      </c>
      <c r="D7" s="15">
        <f>SUM(D4:D6)</f>
        <v/>
      </c>
      <c r="E7" s="15">
        <f>SUM(E4:E6)</f>
        <v/>
      </c>
      <c r="F7" s="15">
        <f>SUM(F4:F6)</f>
        <v/>
      </c>
    </row>
    <row r="8"/>
    <row r="9">
      <c r="A9" s="3" t="inlineStr">
        <is>
          <t>REKONSILIASI PPN TERUTANG VS DILAPORKAN SPT MASA</t>
        </is>
      </c>
    </row>
    <row r="10">
      <c r="A10" s="4" t="inlineStr">
        <is>
          <t>PPN Keluaran Hasil Audit</t>
        </is>
      </c>
      <c r="B10" s="17">
        <f>F7</f>
        <v/>
      </c>
    </row>
    <row r="11">
      <c r="A11" s="4" t="inlineStr">
        <is>
          <t>PPN Keluaran Dilaporkan SPT Masa</t>
        </is>
      </c>
      <c r="B11" s="17">
        <f>C7*0.11</f>
        <v/>
      </c>
    </row>
    <row r="12">
      <c r="A12" s="4" t="inlineStr">
        <is>
          <t>Selisih Kurang Bayar PPN (Pokok)</t>
        </is>
      </c>
      <c r="B12" s="18">
        <f>B10-B11</f>
        <v/>
      </c>
    </row>
    <row r="13">
      <c r="A13" s="4" t="inlineStr">
        <is>
          <t>Estimasi Sanksi Bunga Pasal 9 (2a) UU KUP (14 Bulan @ ~1%)</t>
        </is>
      </c>
      <c r="B13" s="17">
        <f>B12*0.14</f>
        <v/>
      </c>
    </row>
    <row r="14">
      <c r="A14" s="4" t="inlineStr">
        <is>
          <t>TOTAL KEWAJIBAN PPN TERUTANG &amp; SANKSI</t>
        </is>
      </c>
      <c r="B14" s="11">
        <f>B12+B13</f>
        <v/>
      </c>
    </row>
  </sheetData>
  <mergeCells count="2">
    <mergeCell ref="A1:F1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21" customWidth="1" min="2" max="2"/>
    <col width="21" customWidth="1" min="3" max="3"/>
    <col width="19" customWidth="1" min="4" max="4"/>
    <col width="24" customWidth="1" min="5" max="5"/>
    <col width="26" customWidth="1" min="6" max="6"/>
  </cols>
  <sheetData>
    <row r="1">
      <c r="A1" s="13" t="inlineStr">
        <is>
          <t>KERTAS KERJA AUDIT EKUALISASI PPH 21, PPH 23, DAN PPH 4(2)</t>
        </is>
      </c>
    </row>
    <row r="2"/>
    <row r="3">
      <c r="A3" s="3" t="inlineStr">
        <is>
          <t>1. AUDIT EKUALISASI PPH PASAL 21 (DOKTER &amp; APOTEKER)</t>
        </is>
      </c>
    </row>
    <row r="4">
      <c r="A4" s="6" t="inlineStr">
        <is>
          <t>Komponen Pembayaran Medis</t>
        </is>
      </c>
      <c r="B4" s="6" t="inlineStr">
        <is>
          <t>Nilai Bruto Ledger</t>
        </is>
      </c>
      <c r="C4" s="6" t="inlineStr">
        <is>
          <t>DPP PPh 21 SPT</t>
        </is>
      </c>
      <c r="D4" s="6" t="inlineStr">
        <is>
          <t>DPP PPh 21 Audit</t>
        </is>
      </c>
      <c r="E4" s="6" t="inlineStr">
        <is>
          <t>PPh 21 Dipotong SPT</t>
        </is>
      </c>
      <c r="F4" s="6" t="inlineStr">
        <is>
          <t>PPh 21 Audit Terutang</t>
        </is>
      </c>
    </row>
    <row r="5">
      <c r="A5" s="5" t="inlineStr">
        <is>
          <t>Gaji &amp; Tunjangan Apoteker Pengelola (Pegawai Tetap)</t>
        </is>
      </c>
      <c r="B5" s="17" t="n">
        <v>360000000</v>
      </c>
      <c r="C5" s="17" t="n">
        <v>360000000</v>
      </c>
      <c r="D5" s="17" t="n">
        <v>360000000</v>
      </c>
      <c r="E5" s="17" t="n">
        <v>18000000</v>
      </c>
      <c r="F5" s="17" t="n">
        <v>18000000</v>
      </c>
    </row>
    <row r="6">
      <c r="A6" s="5" t="inlineStr">
        <is>
          <t>Honorarium Dokter Konsultasi Booth Apotek (Bukan Pegawai)</t>
        </is>
      </c>
      <c r="B6" s="17" t="n">
        <v>600000000</v>
      </c>
      <c r="C6" s="17" t="n">
        <v>600000000</v>
      </c>
      <c r="D6" s="17">
        <f>50%*B6</f>
        <v/>
      </c>
      <c r="E6" s="17" t="n">
        <v>30000000</v>
      </c>
      <c r="F6" s="17">
        <f>D6*0.15</f>
        <v/>
      </c>
    </row>
    <row r="7">
      <c r="A7" s="5" t="inlineStr">
        <is>
          <t>Jasa Medis Resep Dokter Mitra</t>
        </is>
      </c>
      <c r="B7" s="17" t="n">
        <v>540000000</v>
      </c>
      <c r="C7" s="17" t="n">
        <v>0</v>
      </c>
      <c r="D7" s="17">
        <f>50%*B7</f>
        <v/>
      </c>
      <c r="E7" s="17" t="n">
        <v>0</v>
      </c>
      <c r="F7" s="17">
        <f>D7*0.15</f>
        <v/>
      </c>
    </row>
    <row r="8">
      <c r="A8" s="4" t="inlineStr">
        <is>
          <t>TOTAL PPH PASAL 21 MEDIS</t>
        </is>
      </c>
      <c r="B8" s="18">
        <f>SUM(B5:B7)</f>
        <v/>
      </c>
      <c r="C8" s="18">
        <f>SUM(C5:C7)</f>
        <v/>
      </c>
      <c r="D8" s="18">
        <f>SUM(D5:D7)</f>
        <v/>
      </c>
      <c r="E8" s="18">
        <f>SUM(E5:E7)</f>
        <v/>
      </c>
      <c r="F8" s="18">
        <f>SUM(F5:F7)</f>
        <v/>
      </c>
    </row>
    <row r="9"/>
    <row r="10">
      <c r="A10" s="4" t="inlineStr">
        <is>
          <t>SELISIH KURANG POTONG PPH 21</t>
        </is>
      </c>
      <c r="B10" s="19">
        <f>F8-E8</f>
        <v/>
      </c>
    </row>
    <row r="11"/>
    <row r="12">
      <c r="A12" s="3" t="inlineStr">
        <is>
          <t>2. AUDIT EKUALISASI PPH PASAL 23 (KSO ALAT CEK KESEHATAN APOTEK)</t>
        </is>
      </c>
    </row>
    <row r="13">
      <c r="A13" s="6" t="inlineStr">
        <is>
          <t>Jenis Transaksi KSO &amp; Jasa Teknik</t>
        </is>
      </c>
      <c r="B13" s="6" t="inlineStr">
        <is>
          <t>Nilai Bruto KSO</t>
        </is>
      </c>
      <c r="C13" s="6" t="inlineStr">
        <is>
          <t>Objek PPh 23 Audit</t>
        </is>
      </c>
      <c r="D13" s="6" t="inlineStr">
        <is>
          <t>Tarif Pajak</t>
        </is>
      </c>
      <c r="E13" s="6" t="inlineStr">
        <is>
          <t>PPh 23 Dipotong SPT</t>
        </is>
      </c>
      <c r="F13" s="6" t="inlineStr">
        <is>
          <t>PPh 23 Terutang Audit</t>
        </is>
      </c>
    </row>
    <row r="14">
      <c r="A14" s="5" t="inlineStr">
        <is>
          <t>Bagi Hasil KSO Alat Tes Darah &amp; Lab Apotek</t>
        </is>
      </c>
      <c r="B14" s="17" t="n">
        <v>250000000</v>
      </c>
      <c r="C14" s="17" t="n">
        <v>250000000</v>
      </c>
      <c r="D14" s="20" t="n">
        <v>0.02</v>
      </c>
      <c r="E14" s="17" t="n">
        <v>0</v>
      </c>
      <c r="F14" s="17">
        <f>B14*D14</f>
        <v/>
      </c>
    </row>
    <row r="15">
      <c r="A15" s="5" t="inlineStr">
        <is>
          <t>Jasa Maintenance Software SIM-Apotek</t>
        </is>
      </c>
      <c r="B15" s="17" t="n">
        <v>150000000</v>
      </c>
      <c r="C15" s="17" t="n">
        <v>150000000</v>
      </c>
      <c r="D15" s="20" t="n">
        <v>0.02</v>
      </c>
      <c r="E15" s="17" t="n">
        <v>3000000</v>
      </c>
      <c r="F15" s="17">
        <f>B15*D15</f>
        <v/>
      </c>
    </row>
    <row r="16">
      <c r="A16" s="4" t="inlineStr">
        <is>
          <t>TOTAL PPH PASAL 23</t>
        </is>
      </c>
      <c r="B16" s="18">
        <f>SUM(B14:B15)</f>
        <v/>
      </c>
      <c r="C16" s="18">
        <f>SUM(C14:C15)</f>
        <v/>
      </c>
      <c r="D16" s="4" t="inlineStr">
        <is>
          <t>-</t>
        </is>
      </c>
      <c r="E16" s="18">
        <f>SUM(E14:E15)</f>
        <v/>
      </c>
      <c r="F16" s="18">
        <f>SUM(F14:F15)</f>
        <v/>
      </c>
    </row>
    <row r="17">
      <c r="A17" s="4" t="inlineStr">
        <is>
          <t>SELISIH KURANG POTONG PPH 23</t>
        </is>
      </c>
      <c r="B17" s="19">
        <f>F16-E16</f>
        <v/>
      </c>
    </row>
    <row r="18"/>
    <row r="19">
      <c r="A19" s="3" t="inlineStr">
        <is>
          <t>3. AUDIT PPH PASAL 4(2) FINAL (SEWA RUANG BOOTH APOTEK &amp; KANTIN)</t>
        </is>
      </c>
    </row>
    <row r="20">
      <c r="A20" s="6" t="inlineStr">
        <is>
          <t>Pendapatan / Beban Sewa Lahan</t>
        </is>
      </c>
      <c r="B20" s="6" t="inlineStr">
        <is>
          <t>Nilai Sewa Bruto</t>
        </is>
      </c>
      <c r="C20" s="6" t="inlineStr">
        <is>
          <t>Objek PPh 4(2)</t>
        </is>
      </c>
      <c r="D20" s="6" t="inlineStr">
        <is>
          <t>Tarif Final</t>
        </is>
      </c>
      <c r="E20" s="6" t="inlineStr">
        <is>
          <t>PPh 4(2) Dipotong SPT</t>
        </is>
      </c>
      <c r="F20" s="6" t="inlineStr">
        <is>
          <t>PPh 4(2) Terutang Audit</t>
        </is>
      </c>
    </row>
    <row r="21">
      <c r="A21" s="5" t="inlineStr">
        <is>
          <t>Sewa Space Booth Apotek &amp; Konsultasi Dokter</t>
        </is>
      </c>
      <c r="B21" s="17" t="n">
        <v>300000000</v>
      </c>
      <c r="C21" s="17" t="n">
        <v>300000000</v>
      </c>
      <c r="D21" s="20" t="n">
        <v>0.1</v>
      </c>
      <c r="E21" s="17" t="n">
        <v>0</v>
      </c>
      <c r="F21" s="17">
        <f>B21*D21</f>
        <v/>
      </c>
    </row>
    <row r="22">
      <c r="A22" s="5" t="inlineStr">
        <is>
          <t>Sewa Space Kantin &amp; ATM Center Supermarket</t>
        </is>
      </c>
      <c r="B22" s="17" t="n">
        <v>150000000</v>
      </c>
      <c r="C22" s="17" t="n">
        <v>150000000</v>
      </c>
      <c r="D22" s="20" t="n">
        <v>0.1</v>
      </c>
      <c r="E22" s="17" t="n">
        <v>15000000</v>
      </c>
      <c r="F22" s="17">
        <f>B22*D22</f>
        <v/>
      </c>
    </row>
    <row r="23">
      <c r="A23" s="4" t="inlineStr">
        <is>
          <t>TOTAL PPH PASAL 4(2) FINAL</t>
        </is>
      </c>
      <c r="B23" s="18">
        <f>SUM(B21:B22)</f>
        <v/>
      </c>
      <c r="C23" s="18">
        <f>SUM(C21:C22)</f>
        <v/>
      </c>
      <c r="D23" s="4" t="inlineStr">
        <is>
          <t>-</t>
        </is>
      </c>
      <c r="E23" s="18">
        <f>SUM(E21:E22)</f>
        <v/>
      </c>
      <c r="F23" s="18">
        <f>SUM(F21:F22)</f>
        <v/>
      </c>
    </row>
    <row r="24">
      <c r="A24" s="4" t="inlineStr">
        <is>
          <t>SELISIH KURANG POTONG PPH 4(2)</t>
        </is>
      </c>
      <c r="B24" s="19">
        <f>F23-E23</f>
        <v/>
      </c>
    </row>
  </sheetData>
  <mergeCells count="4">
    <mergeCell ref="A3:F3"/>
    <mergeCell ref="A19:F19"/>
    <mergeCell ref="A1:F1"/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43" customWidth="1" min="2" max="2"/>
    <col width="103" customWidth="1" min="3" max="3"/>
    <col width="65" customWidth="1" min="4" max="4"/>
    <col width="14" customWidth="1" min="5" max="5"/>
    <col width="115" customWidth="1" min="6" max="6"/>
  </cols>
  <sheetData>
    <row r="1">
      <c r="A1" s="13" t="inlineStr">
        <is>
          <t>RUBRIK EVALUASI &amp; KUNCI JAWABAN SOAL AUDIT PERPAJAKAN PT SERBA ADA SEJAHTERA</t>
        </is>
      </c>
    </row>
    <row r="2"/>
    <row r="3">
      <c r="A3" s="6" t="inlineStr">
        <is>
          <t>No</t>
        </is>
      </c>
      <c r="B3" s="6" t="inlineStr">
        <is>
          <t>Area Isu Audit</t>
        </is>
      </c>
      <c r="C3" s="6" t="inlineStr">
        <is>
          <t>Temuan Diskrepanai / Anomali</t>
        </is>
      </c>
      <c r="D3" s="6" t="inlineStr">
        <is>
          <t>Dasar Hukum / Regulasi</t>
        </is>
      </c>
      <c r="E3" s="6" t="inlineStr">
        <is>
          <t>Poin Nilai</t>
        </is>
      </c>
      <c r="F3" s="6" t="inlineStr">
        <is>
          <t>Langkah Penyelesaian Konsultan</t>
        </is>
      </c>
    </row>
    <row r="4">
      <c r="A4" s="21" t="n">
        <v>1</v>
      </c>
      <c r="B4" s="5" t="inlineStr">
        <is>
          <t>PPN Penyerahan Apotek OTC &amp; Resep Dokter</t>
        </is>
      </c>
      <c r="C4" s="5" t="inlineStr">
        <is>
          <t>Klien tidak melakukan Gross-Up DPP (100/111) dan salah menganggap obat resep bebas PPN.</t>
        </is>
      </c>
      <c r="D4" s="5" t="inlineStr">
        <is>
          <t>Pasal 4A &amp; Pasal 16A UU PPN s.t.d.t.d UU HPP, SE-06/PJ.52/2000</t>
        </is>
      </c>
      <c r="E4" s="21" t="n">
        <v>25</v>
      </c>
      <c r="F4" s="5" t="inlineStr">
        <is>
          <t>Lakukan pembetulan SPT Masa PPN, hitung DPP Gross-up, dan setorkan kurang bayar PPN + bunga KUP.</t>
        </is>
      </c>
    </row>
    <row r="5">
      <c r="A5" s="21" t="n">
        <v>2</v>
      </c>
      <c r="B5" s="5" t="inlineStr">
        <is>
          <t>PPh Pasal 21 Dokter &amp; Apoteker</t>
        </is>
      </c>
      <c r="C5" s="5" t="inlineStr">
        <is>
          <t>Jasa medis dokter dipotong dari tarif pegawai tidak tetap tanpa memisahkan DPP 50% Jasa Medis Murni.</t>
        </is>
      </c>
      <c r="D5" s="5" t="inlineStr">
        <is>
          <t>PER-16/PJ/2016, PMK 168/PMK.03/2023</t>
        </is>
      </c>
      <c r="E5" s="21" t="n">
        <v>20</v>
      </c>
      <c r="F5" s="5" t="inlineStr">
        <is>
          <t>Revisi bukti potong e-Bupot 21, pisahkan jasa sarana supermarket vs jasa medis murni dokter.</t>
        </is>
      </c>
    </row>
    <row r="6">
      <c r="A6" s="21" t="n">
        <v>3</v>
      </c>
      <c r="B6" s="5" t="inlineStr">
        <is>
          <t>PPh Pasal 23 KSO Alat Cek Medis</t>
        </is>
      </c>
      <c r="C6" s="5" t="inlineStr">
        <is>
          <t>Bagi hasil KSO alat tes darah apotek tidak dipotong PPh 23 sebesar 2%.</t>
        </is>
      </c>
      <c r="D6" s="5" t="inlineStr">
        <is>
          <t>Pasal 23 UU PPh</t>
        </is>
      </c>
      <c r="E6" s="21" t="n">
        <v>15</v>
      </c>
      <c r="F6" s="5" t="inlineStr">
        <is>
          <t>Terbitkan bukti potong PPh 23 atas vendor KSO dan lakukan penyetoran sendiri.</t>
        </is>
      </c>
    </row>
    <row r="7">
      <c r="A7" s="21" t="n">
        <v>4</v>
      </c>
      <c r="B7" s="5" t="inlineStr">
        <is>
          <t>PPh Pasal 4(2) Sewa Booth Space</t>
        </is>
      </c>
      <c r="C7" s="5" t="inlineStr">
        <is>
          <t>Sewa space booth apotek di dalam supermarket belum dipotong PPh 4(2) Final 10%.</t>
        </is>
      </c>
      <c r="D7" s="5" t="inlineStr">
        <is>
          <t>PP 34 Tahun 2016</t>
        </is>
      </c>
      <c r="E7" s="21" t="n">
        <v>15</v>
      </c>
      <c r="F7" s="5" t="inlineStr">
        <is>
          <t>Lakukan penyetoran PPh 4(2) Final atas sewa ruangan/booth.</t>
        </is>
      </c>
    </row>
    <row r="8">
      <c r="A8" s="21" t="n">
        <v>5</v>
      </c>
      <c r="B8" s="5" t="inlineStr">
        <is>
          <t>PPh Badan &amp; Kapitalisasi Investasi 18M</t>
        </is>
      </c>
      <c r="C8" s="5" t="inlineStr">
        <is>
          <t>Biaya investasi awal apotek Rp 18M langsung di-OpEx-kan penuh di Tahun 1.</t>
        </is>
      </c>
      <c r="D8" s="5" t="inlineStr">
        <is>
          <t>Pasal 6 &amp; Pasal 11A UU PPh</t>
        </is>
      </c>
      <c r="E8" s="21" t="n">
        <v>25</v>
      </c>
      <c r="F8" s="5" t="inlineStr">
        <is>
          <t>Koreksi fiskal negatif OpEx Rp 18M, kapitalisasi sebagai Harta Tak Berwujud, dan amortisasi 4 thn (Rp 4.5M/thn).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2026-10-05T23:29:03Z</dcterms:created>
  <dcterms:modified xmlns:dcterms="http://purl.org/dc/terms/" xmlns:xsi="http://www.w3.org/2001/XMLSchema-instance" xsi:type="dcterms:W3CDTF">2026-10-05T23:29:03Z</dcterms:modified>
</cp:coreProperties>
</file>