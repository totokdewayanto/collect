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PA IKPI\"/>
    </mc:Choice>
  </mc:AlternateContent>
  <bookViews>
    <workbookView xWindow="0" yWindow="0" windowWidth="3795" windowHeight="2700" firstSheet="2" activeTab="4"/>
  </bookViews>
  <sheets>
    <sheet name="Laporan Keuangan" sheetId="1" r:id="rId1"/>
    <sheet name="Sub-Ledger PPh 21 Dokter" sheetId="2" r:id="rId2"/>
    <sheet name="Sub-Ledger PPN Farmasi" sheetId="3" r:id="rId3"/>
    <sheet name="Sub-Ledger PPh 23 Vendor" sheetId="4" r:id="rId4"/>
    <sheet name="Dokumen Pendukung" sheetId="5" r:id="rId5"/>
  </sheets>
  <calcPr calcId="162913"/>
</workbook>
</file>

<file path=xl/calcChain.xml><?xml version="1.0" encoding="utf-8"?>
<calcChain xmlns="http://schemas.openxmlformats.org/spreadsheetml/2006/main">
  <c r="E20" i="5" l="1"/>
  <c r="B20" i="5"/>
  <c r="E19" i="5"/>
  <c r="B19" i="5"/>
  <c r="E18" i="5"/>
  <c r="B18" i="5"/>
  <c r="C11" i="5"/>
  <c r="C12" i="5" s="1"/>
  <c r="C9" i="5"/>
  <c r="C8" i="5"/>
  <c r="C7" i="5"/>
  <c r="D16" i="4"/>
  <c r="D15" i="4"/>
  <c r="D13" i="4"/>
  <c r="D12" i="4"/>
  <c r="D14" i="4" s="1"/>
  <c r="D9" i="4"/>
  <c r="F7" i="4"/>
  <c r="F6" i="4"/>
  <c r="F5" i="4"/>
  <c r="F12" i="4" s="1"/>
  <c r="F4" i="4"/>
  <c r="F13" i="4" s="1"/>
  <c r="G15" i="4" s="1"/>
  <c r="D20" i="3"/>
  <c r="D19" i="3"/>
  <c r="D15" i="3"/>
  <c r="D14" i="3"/>
  <c r="D16" i="3" s="1"/>
  <c r="D13" i="3"/>
  <c r="D10" i="3"/>
  <c r="D19" i="5" s="1"/>
  <c r="G7" i="3"/>
  <c r="G14" i="3" s="1"/>
  <c r="G6" i="3"/>
  <c r="G10" i="3" s="1"/>
  <c r="C13" i="2"/>
  <c r="H10" i="2"/>
  <c r="C16" i="2" s="1"/>
  <c r="G10" i="2"/>
  <c r="F10" i="2"/>
  <c r="E10" i="2"/>
  <c r="D18" i="5" s="1"/>
  <c r="C46" i="1"/>
  <c r="C42" i="1"/>
  <c r="C47" i="1" s="1"/>
  <c r="C35" i="1"/>
  <c r="C29" i="1"/>
  <c r="C36" i="1" s="1"/>
  <c r="C48" i="1" s="1"/>
  <c r="C49" i="1" s="1"/>
  <c r="C20" i="1"/>
  <c r="C5" i="5" s="1"/>
  <c r="C18" i="1"/>
  <c r="C7" i="1"/>
  <c r="F14" i="4" l="1"/>
  <c r="D17" i="4"/>
  <c r="C20" i="5"/>
  <c r="D20" i="5"/>
  <c r="C13" i="5"/>
  <c r="C14" i="5" s="1"/>
  <c r="G15" i="3"/>
  <c r="G16" i="3" s="1"/>
  <c r="C14" i="2"/>
  <c r="C15" i="2"/>
  <c r="F9" i="4"/>
  <c r="C18" i="5"/>
  <c r="C19" i="5"/>
</calcChain>
</file>

<file path=xl/sharedStrings.xml><?xml version="1.0" encoding="utf-8"?>
<sst xmlns="http://schemas.openxmlformats.org/spreadsheetml/2006/main" count="387" uniqueCount="362">
  <si>
    <t>PT MEDIKA UTAMA SEJAHTERA (RS MEDIKA UTAMA) - LAPORAN LABA RUGI KOMERSIAL</t>
  </si>
  <si>
    <t>PT MEDIKA UTAMA SEJAHTERA (RS MEDIKA UTAMA)</t>
  </si>
  <si>
    <t>Kode Akun</t>
  </si>
  <si>
    <t>Nama Akun / Pos Keuangan</t>
  </si>
  <si>
    <t>Nilai Komersial (Rp)</t>
  </si>
  <si>
    <t>Catatan &amp; Perlakuan Fiskal</t>
  </si>
  <si>
    <t>SUB-LEDGER PPN INSTALASI FARMASI &amp; PENYERAHAN OBAT - DESEMBER 2025</t>
  </si>
  <si>
    <t>SUB-LEDGER PPH PASAL 21 DOKTER - TAHUN PAJAK 2025</t>
  </si>
  <si>
    <t>SUB-LEDGER PPH PASAL 23 ATAS JASA VENDOR &amp; REKANAN - TAHUN 2025</t>
  </si>
  <si>
    <t>4-1100</t>
  </si>
  <si>
    <t>Kode Transaksi</t>
  </si>
  <si>
    <t>Pendapatan Rawat Inap &amp; Tindakan Medis</t>
  </si>
  <si>
    <t>Kode Dokter</t>
  </si>
  <si>
    <t>Unit Pelayanan / Instalasi</t>
  </si>
  <si>
    <t>Nomor Faktur / Invoice</t>
  </si>
  <si>
    <t>Deskripsi Transaksi / Barang</t>
  </si>
  <si>
    <t>Nama Dokter &amp; Spesialisasi</t>
  </si>
  <si>
    <t>Nama Vendor / Rekanan Jasa</t>
  </si>
  <si>
    <t>Nilai Transaksi / DPP (Rp)</t>
  </si>
  <si>
    <t>Status Kepegawaian</t>
  </si>
  <si>
    <t>Status Faktur Pajak</t>
  </si>
  <si>
    <t>Deskripsi Transaksi Jasa Medis / Non-Medis</t>
  </si>
  <si>
    <t>Metode Pemotongan</t>
  </si>
  <si>
    <t>Tarif PPN</t>
  </si>
  <si>
    <t>Penghasilan Bruto (Rp)</t>
  </si>
  <si>
    <t>Nilai Tagihan Bruto / DPP (Rp)</t>
  </si>
  <si>
    <t>PPN Terutang (Rp)</t>
  </si>
  <si>
    <t>Objek Non-PPN (Jasa Kesehatan / JKP Bebas)</t>
  </si>
  <si>
    <t>Fasilitas Top-Up / Natura (Rp)</t>
  </si>
  <si>
    <t>Tarif PPh 23</t>
  </si>
  <si>
    <t>Status Kepatuhan &amp; Risiko Fiskal</t>
  </si>
  <si>
    <t>Dasar Pengenaan Pajak / DPP (Rp)</t>
  </si>
  <si>
    <t>PPh 23 Terutang / Dipotong (Rp)</t>
  </si>
  <si>
    <t>PPh 21 Terutang (Rp)</t>
  </si>
  <si>
    <t>RX-202512-001</t>
  </si>
  <si>
    <t>Status Kepatuhan Pemotongan</t>
  </si>
  <si>
    <t>Catatan &amp; Keterangan Kepatuhan Pajak</t>
  </si>
  <si>
    <t>4-1200</t>
  </si>
  <si>
    <t>Tingkat Risiko Fiskal</t>
  </si>
  <si>
    <t>Pendapatan Farmasi, Obat, &amp; Alkes</t>
  </si>
  <si>
    <t>Tindak Lanjut &amp; Rekomendasi Audit</t>
  </si>
  <si>
    <t>D-001</t>
  </si>
  <si>
    <t>Rawat Inap</t>
  </si>
  <si>
    <t>Objek PPN Mix (Rawat Inap Bebas vs Rawat Jalan Terutang)</t>
  </si>
  <si>
    <t>Obat Paket Perawatan Rawat Inap</t>
  </si>
  <si>
    <t>Dr. Budi Santoso, Sp.B</t>
  </si>
  <si>
    <t>INV-2025-012</t>
  </si>
  <si>
    <t>Mitra</t>
  </si>
  <si>
    <t>4-1300</t>
  </si>
  <si>
    <t>Bukan Pegawai Berkesinambungan</t>
  </si>
  <si>
    <t>Bebas PPN (080)</t>
  </si>
  <si>
    <t>Pendapatan Klaim BPJS Kesehatan</t>
  </si>
  <si>
    <t>Akrual Layanan BPJS Kesehatan</t>
  </si>
  <si>
    <t>PT Kalibrasi Alkes Nusantara</t>
  </si>
  <si>
    <t>Patuh (Bebas PPN Fasilitas Layanan Medis)</t>
  </si>
  <si>
    <t>Dokter Spesialis Bedah Mitra (Top-up tempat tinggal dinas)</t>
  </si>
  <si>
    <t>4-1400</t>
  </si>
  <si>
    <t>Maintenance &amp; Kalibrasi MRI / CT-Scan</t>
  </si>
  <si>
    <t>RX-202512-002</t>
  </si>
  <si>
    <t>Pendapatan Sewa Kantin &amp; Area Komersial</t>
  </si>
  <si>
    <t>D-002</t>
  </si>
  <si>
    <t>Rawat Jalan Resep</t>
  </si>
  <si>
    <t>Dr. Siti Aminah, Sp.A</t>
  </si>
  <si>
    <t>Obat Resep Poliklinik Dokter Sp.</t>
  </si>
  <si>
    <t>Objek PPh Final Pasal 4(2)</t>
  </si>
  <si>
    <t>Tetap</t>
  </si>
  <si>
    <t>Pegawai Tetap (TER PMK-168)</t>
  </si>
  <si>
    <t>Patuh (Bebas PPN Resep Pasien Rajal)</t>
  </si>
  <si>
    <t>Dokter Tetap RS, pemotongan TER bulanan PMK-168/2023</t>
  </si>
  <si>
    <t>RX-202512-003</t>
  </si>
  <si>
    <t>D-003</t>
  </si>
  <si>
    <t>TOTAL PENDAPATAN</t>
  </si>
  <si>
    <t>Dr. Hendra, Sp.OG</t>
  </si>
  <si>
    <t>Rawat Jalan Non-Resep</t>
  </si>
  <si>
    <t>Obat Bebas OTC / Penjualan Bebas</t>
  </si>
  <si>
    <t>Belum Diterbitkan (HIGH RISK)</t>
  </si>
  <si>
    <t>Dokter Spesialis Obgyn Mitra volume tindakan tinggi</t>
  </si>
  <si>
    <t>D-004</t>
  </si>
  <si>
    <t>Dr. Grace, Sp.KK</t>
  </si>
  <si>
    <t>Dokter Mitra Poli Kulit (Top-up fasilitas mobil operasional)</t>
  </si>
  <si>
    <t>D-005</t>
  </si>
  <si>
    <t>Dr. Rahmat, Sp.PD</t>
  </si>
  <si>
    <t>Tamu</t>
  </si>
  <si>
    <t>Bukan Pegawai Tidak Berkesinambungan</t>
  </si>
  <si>
    <t>Dokter Tamu Konsulen (Top-up akomodasi)</t>
  </si>
  <si>
    <t>Belum Dipotong (HIGH RISK)</t>
  </si>
  <si>
    <t>Tinggi (Kurang Potong Pajak)</t>
  </si>
  <si>
    <t>Total Peredaran Usaha Komersial</t>
  </si>
  <si>
    <t>Potong PPh 23 saat pembayaran atau buat bupot susulan</t>
  </si>
  <si>
    <t>INV-2025-089</t>
  </si>
  <si>
    <t>5-1100</t>
  </si>
  <si>
    <t>Beban Jasa Medis Dokter (Tetap &amp; Mitra)</t>
  </si>
  <si>
    <t>TOTAL</t>
  </si>
  <si>
    <t>REKAPITULASI SUB-LEDGER PPH 21 DOKTER</t>
  </si>
  <si>
    <t>Objek PPh 21 Dokter (Terindikasi Selisih Ekualisasi)</t>
  </si>
  <si>
    <t>PT Catering Sehat Medika</t>
  </si>
  <si>
    <t>5-1200</t>
  </si>
  <si>
    <t>Beban Pokok Obat &amp; Bahan Medis Habis Pakai (BMHP)</t>
  </si>
  <si>
    <t>Jasa Catering Pasien Rawat Inap &amp; Gizi</t>
  </si>
  <si>
    <t>PPN Masukan Pembelian Farmasi</t>
  </si>
  <si>
    <t>HIGH RISK (Objek PPN Belum Terbit Faktur Pajak)</t>
  </si>
  <si>
    <t>5-1300</t>
  </si>
  <si>
    <t>RX-202512-004</t>
  </si>
  <si>
    <t>Beban Gaji &amp; Tunjangan Pegawai Non-Medis</t>
  </si>
  <si>
    <t>Skincare / Estetika</t>
  </si>
  <si>
    <t>Alkes &amp; Kosmetika Estetika Medis</t>
  </si>
  <si>
    <t>Objek PPh 21 Pegawai Tetap</t>
  </si>
  <si>
    <t>Terutang PPN (010)</t>
  </si>
  <si>
    <t>Beban Pemeliharaan &amp; Kalibrasi Alkes</t>
  </si>
  <si>
    <t>Objek PPh 23 (Kalibrasi MRI/CT-Scan)</t>
  </si>
  <si>
    <t>Beban Catering Inap &amp; Gizi Pasien</t>
  </si>
  <si>
    <t>Objek PPh 23 / PPN Jasa Catering</t>
  </si>
  <si>
    <t>Dipotong 2% (Compliant)</t>
  </si>
  <si>
    <t>Rendah (Telah Terbit Bupot)</t>
  </si>
  <si>
    <t>Patuh (Faktur Pajak 010 Telah Terbit &amp; Dipungut)</t>
  </si>
  <si>
    <t>Beban Kebersihan, Keamanan, &amp; Limbah B3</t>
  </si>
  <si>
    <t>Bukti potong terbit, ekualisasi cocok dengan Laba Rugi</t>
  </si>
  <si>
    <t>RX-202512-005</t>
  </si>
  <si>
    <t>Objek PPh 23 (Pengolahan Medwaste)</t>
  </si>
  <si>
    <t>Rawat Inap BPJS</t>
  </si>
  <si>
    <t>INV-2025-104</t>
  </si>
  <si>
    <t>BMHP &amp; Obat Paket BPJS Kesehatan</t>
  </si>
  <si>
    <t>CV EcoLimbah B3 Medika</t>
  </si>
  <si>
    <t>Beban Penyusutan Bangunan &amp; Peralatan Medis</t>
  </si>
  <si>
    <t>Jasa Pengolahan &amp; Pemusnahan Limbah Medis B3</t>
  </si>
  <si>
    <t>Beda Waktu Depresiasi Fiskal vs Komersial</t>
  </si>
  <si>
    <t>Patuh (Bebas PPN Paket Perawatan BPJS)</t>
  </si>
  <si>
    <t>Beban Cadangan Penurunan Nilai Piutang BPJS</t>
  </si>
  <si>
    <t>Non-Deductible Expense (Koreksi Fiskal Positif)</t>
  </si>
  <si>
    <t>Klarifikasi tagihan medwaste &amp; terbitkan bupot PPh 23</t>
  </si>
  <si>
    <t>Beban Natura, Tempat Tinggal &amp; Mobil Dokter</t>
  </si>
  <si>
    <t>INV-2025-210</t>
  </si>
  <si>
    <t>Objek PMK-66/2023 (Koreksi Fiskal Positif)</t>
  </si>
  <si>
    <t>PT Secure Guard Indonesia</t>
  </si>
  <si>
    <t>Jasa Pengamanan Gedung &amp; Instalasi RS</t>
  </si>
  <si>
    <t>Beban Operasional Lain-lain &amp; Administrasi</t>
  </si>
  <si>
    <t>Operational Costs Komersial</t>
  </si>
  <si>
    <t>REKAPITULASI SAMPEL TRANSAKSI FARMASI</t>
  </si>
  <si>
    <t>TOTAL BEBAN OPERASIONAL</t>
  </si>
  <si>
    <t>Bukti potong terbit, cocok dengan beban komersial</t>
  </si>
  <si>
    <t>REKAPITULASI SAMPEL JASA VENDOR PPH 23</t>
  </si>
  <si>
    <t>Total Beban Usaha Komersial</t>
  </si>
  <si>
    <t>Total Transaksi &amp; Potensi Beban PPN</t>
  </si>
  <si>
    <t>LABA BERSIH KOMERSIAL</t>
  </si>
  <si>
    <t>RINGKASAN REKAPITULASI &amp; EKUALISASI PPN FARMASI</t>
  </si>
  <si>
    <t>Total Potongan PPh 21 Dokter Terdaftar</t>
  </si>
  <si>
    <t>Penyerahan Bebas PPN (Faktur 080 - Rawat Inap &amp; Resep Poliklinik)</t>
  </si>
  <si>
    <t>Total Kewajiban PPh 23 Jasa Vendor</t>
  </si>
  <si>
    <t>Laba Bersih Komersial Sebelum Pajak</t>
  </si>
  <si>
    <t>RINGKASAN EKUALISASI BEBAN DOKTER VS SUB-LEDGER</t>
  </si>
  <si>
    <t>B. NERACA RINGKAS (PER 31 DESEMBER 2025)</t>
  </si>
  <si>
    <t>,</t>
  </si>
  <si>
    <t>Pos Neraca / Akun</t>
  </si>
  <si>
    <t>Nilai (Rp)</t>
  </si>
  <si>
    <t>Beban Jasa Medis Dokter di Laba Rugi (Kode 5-1100)</t>
  </si>
  <si>
    <t>RINGKASAN KEPATUHAN &amp; RISIKO AUDIT PPH 23 VENDOR</t>
  </si>
  <si>
    <t>Catatan / Klasifikasi</t>
  </si>
  <si>
    <t>Fasilitas Bebas PPN</t>
  </si>
  <si>
    <t>Kategori Telah Dipotong (Compliant - Catering &amp; Security)</t>
  </si>
  <si>
    <t>Patuh (Jasa/Obat Medis Bebas PPN)</t>
  </si>
  <si>
    <t>1-1000</t>
  </si>
  <si>
    <t>Penyerahan Terutang PPN Sudah Terbit Faktur (Faktur 010 - Skincare)</t>
  </si>
  <si>
    <t>ASET LANCAR</t>
  </si>
  <si>
    <t>1-1100</t>
  </si>
  <si>
    <t>Kas &amp; Bank</t>
  </si>
  <si>
    <t>Kas &amp; Setara Kas</t>
  </si>
  <si>
    <t>Keterangan Selisih:</t>
  </si>
  <si>
    <t>1-1200</t>
  </si>
  <si>
    <t>Piutang Klaim BPJS Kesehatan</t>
  </si>
  <si>
    <t>Sebagian jasa medis dokter dibayarkan secara kolektif/pihak ketiga atau dokter mitra lain belum masuk sampel sub-ledger.</t>
  </si>
  <si>
    <t>Piutang Pelayanan Medis BPJS</t>
  </si>
  <si>
    <t>PPN Keluaran Terbit</t>
  </si>
  <si>
    <t>1-1300</t>
  </si>
  <si>
    <t>Persediaan Obat &amp; BMHP</t>
  </si>
  <si>
    <t>Total Bruto Dokter Sub-Ledger (5 Dokter Sampel)</t>
  </si>
  <si>
    <t>Persediaan Farmasi &amp; Medis</t>
  </si>
  <si>
    <t>PPh 23 Dipotong Sah</t>
  </si>
  <si>
    <t>Total Aset Lancar</t>
  </si>
  <si>
    <t>Status Audit:</t>
  </si>
  <si>
    <t>Patuh (Faktur Pajak 010 Telah Terbit)</t>
  </si>
  <si>
    <t>Perluasan sampling daftar nominatif dokter sebelum pelaporan SPT Tahunan Badan.</t>
  </si>
  <si>
    <t>Penyerahan Terutang Belum Terbit Faktur (Obat Bebas OTC - HIGH RISK)</t>
  </si>
  <si>
    <t>Selisih Ekualisasi Beban vs Sub-Ledger</t>
  </si>
  <si>
    <t>Compliant</t>
  </si>
  <si>
    <t>Rendah</t>
  </si>
  <si>
    <t>Bukti potong terbit &amp; telah dilaporkan</t>
  </si>
  <si>
    <t>Kategori Belum Dipotong (HIGH RISK - Alkes &amp; Limbah B3)</t>
  </si>
  <si>
    <t>Subtotal Aset Lancar</t>
  </si>
  <si>
    <t>ASET TETAP</t>
  </si>
  <si>
    <t>Rekomendasi:</t>
  </si>
  <si>
    <t>Potensi Kurang Bayar PPN</t>
  </si>
  <si>
    <t>Ekualisasi menyeluruh 100% dokter mitra &amp; rekonsiliasi bukti potong bupot 21.</t>
  </si>
  <si>
    <t>Tanah &amp; Bangunan</t>
  </si>
  <si>
    <t>Total PPh 21 Dokter Dipotong</t>
  </si>
  <si>
    <t>Nilai Perolehan Properti &amp; Gedung</t>
  </si>
  <si>
    <t>Peralatan Medis</t>
  </si>
  <si>
    <t>Nilai Perolehan Alat Kesehatan Medis</t>
  </si>
  <si>
    <t>Kepatuhan Setor:</t>
  </si>
  <si>
    <t>Akumulasi Penyusutan</t>
  </si>
  <si>
    <t>Pencocokan dengan akun Utang PPh 21 di Neraca ('Laporan Keuangan'!C39).</t>
  </si>
  <si>
    <t>Kontra Akun Akumulasi Penyusutan</t>
  </si>
  <si>
    <t>HIGH RISK (Exposure Pajak Terutang)</t>
  </si>
  <si>
    <t>Total Exposure PPN Farmasi (Terbit Faktur + Belum Terbit OTC)</t>
  </si>
  <si>
    <t>PPh 23 Tertunggak</t>
  </si>
  <si>
    <t>Total Aset Tetap (Nilai Buku)</t>
  </si>
  <si>
    <t>Total Exposure PPN Terutang</t>
  </si>
  <si>
    <t>Subtotal Nilai Buku Aset Tetap</t>
  </si>
  <si>
    <t>HIGH RISK</t>
  </si>
  <si>
    <t>Segera Terbitkan Faktur Pajak 010 OTC</t>
  </si>
  <si>
    <t>Tinggi</t>
  </si>
  <si>
    <t>Potong susulan sebelum closing buku tahunan</t>
  </si>
  <si>
    <t>TOTAL ASET</t>
  </si>
  <si>
    <t>Total Sampel Transaksi Jasa Vendor PPh 23</t>
  </si>
  <si>
    <t>KETERKAITAN DENGAN LAPORAN KEUANGAN TAHUN 2025</t>
  </si>
  <si>
    <t>Pendapatan Farmasi, Obat, &amp; Alkes di Laba Rugi (Kode Akun 4-1200)</t>
  </si>
  <si>
    <t>Total PPh 23 Terutang</t>
  </si>
  <si>
    <t>Grand Total Aset RS Medika</t>
  </si>
  <si>
    <t>Nilai Penjualan Komersial Tahunan</t>
  </si>
  <si>
    <t>2-1000</t>
  </si>
  <si>
    <t>KEWAJIBAN JANGKA PENDEK (LIABILITAS)</t>
  </si>
  <si>
    <t>Rekonsiliasi omzet farmasi komersial vs SPT PPN</t>
  </si>
  <si>
    <t>Total kewajiban PPh 23 dari 4 vendor sampel</t>
  </si>
  <si>
    <t>Saldo Utang PPN pada Neraca Komersial (Kode Akun 2-1400)</t>
  </si>
  <si>
    <t>Saldo Utang PPh 23 pada Neraca Komersial (Kode 2-1300)</t>
  </si>
  <si>
    <t>2-1100</t>
  </si>
  <si>
    <t>Utang Usaha</t>
  </si>
  <si>
    <t>Utang Vendor &amp; Pemasok BMHP</t>
  </si>
  <si>
    <t>2-1200</t>
  </si>
  <si>
    <t>Utang PPh 21</t>
  </si>
  <si>
    <t>Utang Pajak PPh 21 Pegawai &amp; Dokter</t>
  </si>
  <si>
    <t>Kewajiban PPN Akumulasi di Neraca</t>
  </si>
  <si>
    <t>2-1300</t>
  </si>
  <si>
    <t>Utang PPh 23</t>
  </si>
  <si>
    <t>Pencocokan SPT Masa PPN Jan-Des 2025</t>
  </si>
  <si>
    <t>Utang Pajak Jasa &amp; Sewa</t>
  </si>
  <si>
    <t>2-1400</t>
  </si>
  <si>
    <t>Utang PPN</t>
  </si>
  <si>
    <t>Status Akrual Neraca</t>
  </si>
  <si>
    <t>Utang Pajak PPN Farmasi / Penyerahan BKP</t>
  </si>
  <si>
    <t>Total Kewajiban Jangka Pendek</t>
  </si>
  <si>
    <t>Subtotal Kewajiban Lancar</t>
  </si>
  <si>
    <t>3-1000</t>
  </si>
  <si>
    <t>EKUITAS</t>
  </si>
  <si>
    <t>3-1100</t>
  </si>
  <si>
    <t>Modal Disetor</t>
  </si>
  <si>
    <t>Modal Ditempatkan dan Disetor Penuh</t>
  </si>
  <si>
    <t>Saldo utang di neraca mencukupi paparan risiko</t>
  </si>
  <si>
    <t>3-1200</t>
  </si>
  <si>
    <t>Total Beban Jasa Medis &amp; Operasional Terkait di Laba Rugi</t>
  </si>
  <si>
    <t>Saldo Laba Ditahan</t>
  </si>
  <si>
    <t>Akumulasi Saldo Laba Ditahan</t>
  </si>
  <si>
    <t>Total Ekuitas</t>
  </si>
  <si>
    <t>Subtotal Modal &amp; Ekuitas</t>
  </si>
  <si>
    <t>TOTAL LIABILITAS &amp; EKUITAS</t>
  </si>
  <si>
    <t>Beban Komersial 3 Akun</t>
  </si>
  <si>
    <t>Kalibrasi (2,4M) + Catering (2,2M) + Limbah (1,8M)</t>
  </si>
  <si>
    <t>Selisih Ekualisasi Objek PPh 23 vs Beban Laba Rugi</t>
  </si>
  <si>
    <t>Grand Total Liabilitas dan Ekuitas</t>
  </si>
  <si>
    <t>Belum Masuk Sampel</t>
  </si>
  <si>
    <t>Selisih Aset vs (Liabilitas + Ekuitas)</t>
  </si>
  <si>
    <t>Rekonsiliasi vendor-vendor pendukung lainnya</t>
  </si>
  <si>
    <t>Indikasi Selisih Saldo Akuntansi</t>
  </si>
  <si>
    <t>Status Keseimbangan (Balance Check)</t>
  </si>
  <si>
    <t>Validasi Keseimbangan Neraca</t>
  </si>
  <si>
    <t>DOKUMEN PENDUKUNG REKONSILIASI FISKAL &amp; MATRIKS MITIGASI KEPATUHAN PAJAK 2025</t>
  </si>
  <si>
    <t>A. KERTAS KERJA REKONSILIASI FISKAL (LABA RUGI KOMERSIAL KE FISKAL)</t>
  </si>
  <si>
    <t>No</t>
  </si>
  <si>
    <t>Pos / Akun Rekonsiliasi Fiskal</t>
  </si>
  <si>
    <t>Jenis Koreksi</t>
  </si>
  <si>
    <t>Dasar Hukum / Regulasi Pajak</t>
  </si>
  <si>
    <t>Analisis Kepatuhan &amp; Keterangan</t>
  </si>
  <si>
    <t>Dasar Komersial</t>
  </si>
  <si>
    <t>Laporan Keuangan Audited/Unaudited</t>
  </si>
  <si>
    <t>Laba bersih operasional RS sebelum penyesuaian pajak</t>
  </si>
  <si>
    <t>Koreksi Fiskal Positif:</t>
  </si>
  <si>
    <t>a</t>
  </si>
  <si>
    <t>Positif (+)</t>
  </si>
  <si>
    <t>Pasal 9 ayat (1) huruf c UU PPh</t>
  </si>
  <si>
    <t>Pembentukan cadangan tidak diakui fiskal (non-deductible)</t>
  </si>
  <si>
    <t>b</t>
  </si>
  <si>
    <t>PMK No. 66 Tahun 2023</t>
  </si>
  <si>
    <t>Kenikmatan melebihi batasan bukan penunjang langsung keselamatan kerja</t>
  </si>
  <si>
    <t>Total Koreksi Fiskal Positif</t>
  </si>
  <si>
    <t>Subtotal Penambah</t>
  </si>
  <si>
    <t>Koreksi Positif Laba Fiskal</t>
  </si>
  <si>
    <t>Menambah penghasilan kena pajak badan</t>
  </si>
  <si>
    <t>Koreksi Fiskal Negatif:</t>
  </si>
  <si>
    <t>Negatif (-)</t>
  </si>
  <si>
    <t>PP No. 34/2017 &amp; Pasal 4 ayat (2) UU PPh</t>
  </si>
  <si>
    <t>Telah dipotong PPh Final 10% (dikeluarkan dari peredaran umum)</t>
  </si>
  <si>
    <t>Total Koreksi Fiskal Negatif</t>
  </si>
  <si>
    <t>Subtotal Pengurang</t>
  </si>
  <si>
    <t>Koreksi Negatif Laba Fiskal</t>
  </si>
  <si>
    <t>Mengurangi laba komersial objek umum</t>
  </si>
  <si>
    <t>Penghasilan Kena Pajak (PKP) / Laba Fiskal RS</t>
  </si>
  <si>
    <t>Net Fiskal</t>
  </si>
  <si>
    <t>Pasal 16 &amp; Pasal 17 UU PPh / UU HPP</t>
  </si>
  <si>
    <t>Dasar perhitungan Pajak Penghasilan Badan Terutang</t>
  </si>
  <si>
    <t>Estimasi PPh Badan Terutang (Tarif 22%)</t>
  </si>
  <si>
    <t>Kewajiban PPh Badan</t>
  </si>
  <si>
    <t>Pasal 17 ayat (1) huruf b UU PPh</t>
  </si>
  <si>
    <t>Estimasi pajak terutang tahun pajak 2025 sebelum kredit pajak</t>
  </si>
  <si>
    <t>B. RINGKASAN EKUALISASI PAJAK UTAMA VS LAPORAN KEUANGAN</t>
  </si>
  <si>
    <t>Jenis Pajak</t>
  </si>
  <si>
    <t>Nilai Objek di Laba Rugi (Rp)</t>
  </si>
  <si>
    <t>Nilai Sub-Ledger Terdata (Rp)</t>
  </si>
  <si>
    <t>Selisih Ekualisasi (Rp)</t>
  </si>
  <si>
    <t>Indikasi Saldo Neraca Terkait (Rp)</t>
  </si>
  <si>
    <t>Status Ekualisasi &amp; Potensi Risiko</t>
  </si>
  <si>
    <t>Tindak Lanjut Sebelum SPT Tahunan</t>
  </si>
  <si>
    <t>PPh Pasal 21 (Dokter &amp; SDM)</t>
  </si>
  <si>
    <t>Selisih bupot dokter mitra dan pegawai non-medis</t>
  </si>
  <si>
    <t>Ekualisasi menyeluruh 100% bupot 21 pegawai &amp; dokter mitra</t>
  </si>
  <si>
    <t>PPN Farmasi / Penyerahan BKP</t>
  </si>
  <si>
    <t>Paparan risiko obat bebas OTC belum terbit faktur</t>
  </si>
  <si>
    <t>Terbitkan Faktur Pajak 010 atas penyerahan non-resep OTC</t>
  </si>
  <si>
    <t>PPh Pasal 23 (Jasa Vendor)</t>
  </si>
  <si>
    <t>Terdapat 2 vendor belum dipotong PPh 23 Rp 16 Jt</t>
  </si>
  <si>
    <t>Penerbitan bukti potong unifikasi susulan &amp; validasi SSP</t>
  </si>
  <si>
    <t>C. MATRIKS EVALUASI RISIKO &amp; RENCANA AKSI KEPATUHAN (TAX ACTION MATRIX)</t>
  </si>
  <si>
    <t>Area Perpajakan / Pos Keuangan</t>
  </si>
  <si>
    <t>Temuan &amp; Indikasi Risiko</t>
  </si>
  <si>
    <t>Regulasi Acuan</t>
  </si>
  <si>
    <t>Eksposur Finansial / Pajak</t>
  </si>
  <si>
    <t>Langkah Mitigasi Prioritas</t>
  </si>
  <si>
    <t>Target Penyelesaian</t>
  </si>
  <si>
    <t>Sub-Ledger PPh 21 Dokter</t>
  </si>
  <si>
    <t>Fasilitas top-up natura rumah dinas &amp; kendaraan dokter mitra (Rp 133,6 Jt) belum dipotong PPh 21</t>
  </si>
  <si>
    <t>PMK No. 168/2023 &amp; PMK No. 66/2023</t>
  </si>
  <si>
    <t>Potensi SKPKB PPh 21 + Sanksi Bunga Ps 13(2) KUP</t>
  </si>
  <si>
    <t>Hitung ulang DPP PPh 21 dengan memasukkan natura dan buat bukti potong pembetulan bupot 21</t>
  </si>
  <si>
    <t>Sebelum Closing SPT Tahunan Badan</t>
  </si>
  <si>
    <t>Sub-Ledger PPN Farmasi</t>
  </si>
  <si>
    <t>Penjualan obat bebas non-resep OTC (Rp 18 Jt) belum diterbitkan Faktur Pajak (High Risk)</t>
  </si>
  <si>
    <t>UU HPP &amp; PMK No. 71/2022</t>
  </si>
  <si>
    <t>Potensi Sanksi Bunga PPN 11% (Rp 1,98 Jt) + Denda FP Ps 14(4) KUP (1% DPP)</t>
  </si>
  <si>
    <t>Segera terbitkan Faktur Pajak elektronik (010) melalui e-Faktur dan setor PPN terutang</t>
  </si>
  <si>
    <t>Sebelum SPT Masa PPN periode berjalan dilaporkan</t>
  </si>
  <si>
    <t>Sub-Ledger PPh 23 Vendor</t>
  </si>
  <si>
    <t>Tagihan kalibrasi alkes (PT Kalibrasi) &amp; limbah B3 (CV EcoLimbah) belum dipotong PPh 23 (Rp 16 Jt)</t>
  </si>
  <si>
    <t>Pasal 23 UU PPh &amp; PMK No. 141/2015</t>
  </si>
  <si>
    <t>Potensi tanggungan pajak terutang Rp 16.000.000 + denda keterlambatan setor</t>
  </si>
  <si>
    <t>Kompensasikan potongan pada tagihan termin berikutnya atau terbitkan bukti potong unifikasi susulan</t>
  </si>
  <si>
    <t>Minggu ke-2 Januari 2026</t>
  </si>
  <si>
    <t>Koreksi Fiskal Positif PPh Badan</t>
  </si>
  <si>
    <t>Beban cadangan piutang BPJS Rp 2,2M dan beban natura dokter Rp 1,45M wajib dikoreksi positif</t>
  </si>
  <si>
    <t>Pasal 9 ayat (1) huruf c UU PPh &amp; PMK 66/2023</t>
  </si>
  <si>
    <t>Kenaikan PKP sebesar Rp 3.650.000.000 (Potensi PPh Badan Rp 803.000.000)</t>
  </si>
  <si>
    <t>Lakukan rekonsiliasi fiskal positif pada Lampiran I SPT 1771 dan siapkan kertas kerja rincian per pos</t>
  </si>
  <si>
    <t>Penyusunan Draft SPT 1771</t>
  </si>
  <si>
    <t>Keseimbangan Neraca Akuntansi</t>
  </si>
  <si>
    <t>Terdapat selisih Aset vs (Liabilitas + Ekuitas) sebesar Rp 14.420.000.000 pada neraca ringkas per 31 Des 2025</t>
  </si>
  <si>
    <t>Standar Akuntansi Keuangan (SAK EP / PSAK)</t>
  </si>
  <si>
    <t>Distorsi laporan posisi keuangan dan ketidakwajaran saat audit eksternal / pemeriksa pajak</t>
  </si>
  <si>
    <t>Lakukan audit rekonsiliasi akun modal, laba ditahan komersial, dan piutang/utang akrual untuk menyeimbangkan neraca</t>
  </si>
  <si>
    <t>Audit Lapkeu Final 2025</t>
  </si>
  <si>
    <t>Ekualisasi Omzet BPJS vs Faktur 080</t>
  </si>
  <si>
    <t>Klaim BPJS Rp 28,5 Miliar perlu disinkronkan dengan rincian penyerahan paket obat &amp; JKP Medis bebas PPN</t>
  </si>
  <si>
    <t>Pasal 16B UU PPN &amp; PMK Jasa Kesehatan</t>
  </si>
  <si>
    <t>Risiko koreksi penyerahan bebas PPN jika dokumen pendukung klaim tidak lengkap</t>
  </si>
  <si>
    <t>Dokumentasikan FP Faktur 080 serta rekapitulasi berita acara verifikasi klaim BPJS Kesehatan</t>
  </si>
  <si>
    <t>Berkala Setiap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</si>
</sst>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\-yyyy"/>
    <numFmt numFmtId="165" formatCode="&quot;Rp &quot;#,##0;\(&quot;Rp &quot;#,##0\);&quot;Rp &quot;0"/>
  </numFmts>
  <fonts count="10">
    <font>
      <sz val="10"/>
      <color rgb="FF000000"/>
      <name val="Arial"/>
      <scheme val="minor"/>
    </font>
    <font>
      <b/>
      <sz val="13"/>
      <color rgb="FF164970"/>
      <name val="Roboto"/>
    </font>
    <font>
      <b/>
      <sz val="10"/>
      <color rgb="FFFFFFFF"/>
      <name val="Roboto"/>
    </font>
    <font>
      <b/>
      <sz val="10"/>
      <color rgb="FF384756"/>
      <name val="Roboto"/>
    </font>
    <font>
      <sz val="10"/>
      <color theme="1"/>
      <name val="Roboto"/>
    </font>
    <font>
      <b/>
      <sz val="10"/>
      <color theme="1"/>
      <name val="Roboto"/>
    </font>
    <font>
      <b/>
      <sz val="11"/>
      <color rgb="FF024970"/>
      <name val="Roboto"/>
    </font>
    <font>
      <b/>
      <sz val="10"/>
      <color rgb="FF024970"/>
      <name val="Arial"/>
      <scheme val="minor"/>
    </font>
    <font>
      <b/>
      <sz val="10"/>
      <color rgb="FF164970"/>
      <name val="Arial"/>
      <scheme val="minor"/>
    </font>
    <font>
      <b/>
      <sz val="10"/>
      <color rgb="FFC4211E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A6289"/>
        <bgColor rgb="FF2A6289"/>
      </patternFill>
    </fill>
    <fill>
      <patternFill patternType="solid">
        <fgColor rgb="FFFCEDED"/>
        <bgColor rgb="FFFCEDED"/>
      </patternFill>
    </fill>
    <fill>
      <patternFill patternType="solid">
        <fgColor rgb="FFEFF4F9"/>
        <bgColor rgb="FFEFF4F9"/>
      </patternFill>
    </fill>
    <fill>
      <patternFill patternType="solid">
        <fgColor rgb="FFEDF7ED"/>
        <bgColor rgb="FFEDF7ED"/>
      </patternFill>
    </fill>
    <fill>
      <patternFill patternType="solid">
        <fgColor rgb="FFD3E2F4"/>
        <bgColor rgb="FFD3E2F4"/>
      </patternFill>
    </fill>
    <fill>
      <patternFill patternType="solid">
        <fgColor rgb="FFE8F2FF"/>
        <bgColor rgb="FFE8F2FF"/>
      </patternFill>
    </fill>
    <fill>
      <patternFill patternType="solid">
        <fgColor rgb="FFF2F7FC"/>
        <bgColor rgb="FFF2F7FC"/>
      </patternFill>
    </fill>
    <fill>
      <patternFill patternType="solid">
        <fgColor rgb="FFCCE5FF"/>
        <bgColor rgb="FFCCE5FF"/>
      </patternFill>
    </fill>
    <fill>
      <patternFill patternType="solid">
        <fgColor rgb="FFFCE8E5"/>
        <bgColor rgb="FFFCE8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/>
    <xf numFmtId="0" fontId="3" fillId="0" borderId="0" xfId="0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/>
    <xf numFmtId="165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3" borderId="0" xfId="0" applyFont="1" applyFill="1" applyAlignment="1"/>
    <xf numFmtId="165" fontId="4" fillId="3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center"/>
    </xf>
    <xf numFmtId="9" fontId="4" fillId="3" borderId="0" xfId="0" applyNumberFormat="1" applyFont="1" applyFill="1" applyAlignment="1">
      <alignment horizontal="center"/>
    </xf>
    <xf numFmtId="0" fontId="5" fillId="4" borderId="0" xfId="0" applyFont="1" applyFill="1" applyAlignment="1"/>
    <xf numFmtId="0" fontId="4" fillId="0" borderId="0" xfId="0" applyFont="1"/>
    <xf numFmtId="165" fontId="4" fillId="3" borderId="0" xfId="0" applyNumberFormat="1" applyFont="1" applyFill="1" applyAlignment="1">
      <alignment horizontal="right"/>
    </xf>
    <xf numFmtId="165" fontId="5" fillId="4" borderId="0" xfId="0" applyNumberFormat="1" applyFont="1" applyFill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5" borderId="0" xfId="0" applyFont="1" applyFill="1" applyAlignment="1">
      <alignment horizontal="center"/>
    </xf>
    <xf numFmtId="0" fontId="5" fillId="4" borderId="0" xfId="0" applyFont="1" applyFill="1"/>
    <xf numFmtId="0" fontId="4" fillId="5" borderId="0" xfId="0" applyFont="1" applyFill="1" applyAlignment="1"/>
    <xf numFmtId="165" fontId="4" fillId="5" borderId="0" xfId="0" applyNumberFormat="1" applyFont="1" applyFill="1" applyAlignment="1">
      <alignment horizontal="right"/>
    </xf>
    <xf numFmtId="9" fontId="4" fillId="5" borderId="0" xfId="0" applyNumberFormat="1" applyFont="1" applyFill="1" applyAlignment="1">
      <alignment horizontal="center"/>
    </xf>
    <xf numFmtId="165" fontId="4" fillId="5" borderId="0" xfId="0" applyNumberFormat="1" applyFont="1" applyFill="1" applyAlignment="1">
      <alignment horizontal="right"/>
    </xf>
    <xf numFmtId="0" fontId="4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/>
    <xf numFmtId="0" fontId="7" fillId="7" borderId="0" xfId="0" applyFont="1" applyFill="1" applyAlignment="1"/>
    <xf numFmtId="0" fontId="7" fillId="7" borderId="0" xfId="0" applyFont="1" applyFill="1"/>
    <xf numFmtId="165" fontId="6" fillId="6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5" fontId="5" fillId="0" borderId="0" xfId="0" applyNumberFormat="1" applyFont="1" applyAlignment="1">
      <alignment horizontal="right"/>
    </xf>
    <xf numFmtId="164" fontId="7" fillId="7" borderId="0" xfId="0" applyNumberFormat="1" applyFont="1" applyFill="1" applyAlignment="1">
      <alignment horizontal="center"/>
    </xf>
    <xf numFmtId="165" fontId="7" fillId="7" borderId="0" xfId="0" applyNumberFormat="1" applyFont="1" applyFill="1" applyAlignment="1">
      <alignment horizontal="right"/>
    </xf>
    <xf numFmtId="165" fontId="5" fillId="0" borderId="0" xfId="0" applyNumberFormat="1" applyFont="1" applyAlignment="1">
      <alignment horizontal="right"/>
    </xf>
    <xf numFmtId="0" fontId="8" fillId="0" borderId="0" xfId="0" applyFont="1" applyAlignment="1"/>
    <xf numFmtId="0" fontId="5" fillId="8" borderId="0" xfId="0" applyFont="1" applyFill="1" applyAlignment="1">
      <alignment horizontal="center"/>
    </xf>
    <xf numFmtId="0" fontId="5" fillId="8" borderId="0" xfId="0" applyFont="1" applyFill="1" applyAlignment="1"/>
    <xf numFmtId="165" fontId="5" fillId="8" borderId="0" xfId="0" applyNumberFormat="1" applyFont="1" applyFill="1" applyAlignment="1">
      <alignment horizontal="right"/>
    </xf>
    <xf numFmtId="165" fontId="5" fillId="3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center"/>
    </xf>
    <xf numFmtId="0" fontId="6" fillId="9" borderId="0" xfId="0" applyFont="1" applyFill="1" applyAlignment="1"/>
    <xf numFmtId="165" fontId="6" fillId="9" borderId="0" xfId="0" applyNumberFormat="1" applyFont="1" applyFill="1" applyAlignment="1">
      <alignment horizontal="right"/>
    </xf>
    <xf numFmtId="0" fontId="9" fillId="10" borderId="0" xfId="0" applyFont="1" applyFill="1" applyAlignment="1">
      <alignment horizontal="center"/>
    </xf>
    <xf numFmtId="0" fontId="9" fillId="10" borderId="0" xfId="0" applyFont="1" applyFill="1" applyAlignment="1"/>
    <xf numFmtId="165" fontId="9" fillId="10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7" fillId="9" borderId="0" xfId="0" applyFont="1" applyFill="1" applyAlignment="1"/>
    <xf numFmtId="165" fontId="7" fillId="9" borderId="0" xfId="0" applyNumberFormat="1" applyFont="1" applyFill="1" applyAlignment="1">
      <alignment horizontal="right"/>
    </xf>
    <xf numFmtId="0" fontId="7" fillId="9" borderId="0" xfId="0" applyFont="1" applyFill="1"/>
    <xf numFmtId="0" fontId="6" fillId="7" borderId="0" xfId="0" applyFont="1" applyFill="1" applyAlignment="1">
      <alignment horizontal="left"/>
    </xf>
    <xf numFmtId="0" fontId="0" fillId="0" borderId="0" xfId="0" applyFont="1" applyAlignment="1"/>
    <xf numFmtId="0" fontId="4" fillId="0" borderId="0" xfId="0" applyFont="1" applyAlignment="1"/>
    <xf numFmtId="0" fontId="4" fillId="3" borderId="0" xfId="0" applyFont="1" applyFill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5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13.85546875" customWidth="1"/>
    <col min="2" max="2" width="42.5703125" customWidth="1"/>
    <col min="3" max="3" width="23.85546875" customWidth="1"/>
    <col min="4" max="4" width="47.5703125" customWidth="1"/>
  </cols>
  <sheetData>
    <row r="1" spans="1:4" ht="15.75" customHeight="1">
      <c r="A1" s="1" t="s">
        <v>0</v>
      </c>
      <c r="B1" s="3"/>
      <c r="C1" s="3"/>
      <c r="D1" s="3"/>
    </row>
    <row r="2" spans="1:4">
      <c r="A2" s="5" t="s">
        <v>2</v>
      </c>
      <c r="B2" s="5" t="s">
        <v>3</v>
      </c>
      <c r="C2" s="5" t="s">
        <v>4</v>
      </c>
      <c r="D2" s="5" t="s">
        <v>5</v>
      </c>
    </row>
    <row r="3" spans="1:4">
      <c r="A3" s="8" t="s">
        <v>9</v>
      </c>
      <c r="B3" s="9" t="s">
        <v>11</v>
      </c>
      <c r="C3" s="10">
        <v>45000000000</v>
      </c>
      <c r="D3" s="9" t="s">
        <v>27</v>
      </c>
    </row>
    <row r="4" spans="1:4">
      <c r="A4" s="8" t="s">
        <v>37</v>
      </c>
      <c r="B4" s="9" t="s">
        <v>39</v>
      </c>
      <c r="C4" s="10">
        <v>32000000000</v>
      </c>
      <c r="D4" s="9" t="s">
        <v>43</v>
      </c>
    </row>
    <row r="5" spans="1:4">
      <c r="A5" s="8" t="s">
        <v>48</v>
      </c>
      <c r="B5" s="9" t="s">
        <v>51</v>
      </c>
      <c r="C5" s="10">
        <v>28500000000</v>
      </c>
      <c r="D5" s="9" t="s">
        <v>52</v>
      </c>
    </row>
    <row r="6" spans="1:4">
      <c r="A6" s="8" t="s">
        <v>56</v>
      </c>
      <c r="B6" s="9" t="s">
        <v>59</v>
      </c>
      <c r="C6" s="10">
        <v>1500000000</v>
      </c>
      <c r="D6" s="9" t="s">
        <v>64</v>
      </c>
    </row>
    <row r="7" spans="1:4">
      <c r="A7" s="16"/>
      <c r="B7" s="18" t="s">
        <v>71</v>
      </c>
      <c r="C7" s="21">
        <f>SUM(C3:C6)</f>
        <v>107000000000</v>
      </c>
      <c r="D7" s="18" t="s">
        <v>87</v>
      </c>
    </row>
    <row r="8" spans="1:4">
      <c r="A8" s="8" t="s">
        <v>90</v>
      </c>
      <c r="B8" s="9" t="s">
        <v>91</v>
      </c>
      <c r="C8" s="10">
        <v>18500000000</v>
      </c>
      <c r="D8" s="9" t="s">
        <v>94</v>
      </c>
    </row>
    <row r="9" spans="1:4">
      <c r="A9" s="8" t="s">
        <v>96</v>
      </c>
      <c r="B9" s="9" t="s">
        <v>97</v>
      </c>
      <c r="C9" s="10">
        <v>22000000000</v>
      </c>
      <c r="D9" s="9" t="s">
        <v>99</v>
      </c>
    </row>
    <row r="10" spans="1:4">
      <c r="A10" s="8" t="s">
        <v>101</v>
      </c>
      <c r="B10" s="9" t="s">
        <v>103</v>
      </c>
      <c r="C10" s="10">
        <v>14000000000</v>
      </c>
      <c r="D10" s="9" t="s">
        <v>106</v>
      </c>
    </row>
    <row r="11" spans="1:4">
      <c r="A11" s="8">
        <v>73171</v>
      </c>
      <c r="B11" s="9" t="s">
        <v>108</v>
      </c>
      <c r="C11" s="10">
        <v>2400000000</v>
      </c>
      <c r="D11" s="9" t="s">
        <v>109</v>
      </c>
    </row>
    <row r="12" spans="1:4">
      <c r="A12" s="8">
        <v>109695</v>
      </c>
      <c r="B12" s="9" t="s">
        <v>110</v>
      </c>
      <c r="C12" s="10">
        <v>2200000000</v>
      </c>
      <c r="D12" s="9" t="s">
        <v>111</v>
      </c>
    </row>
    <row r="13" spans="1:4">
      <c r="A13" s="8">
        <v>146219</v>
      </c>
      <c r="B13" s="9" t="s">
        <v>115</v>
      </c>
      <c r="C13" s="10">
        <v>1800000000</v>
      </c>
      <c r="D13" s="9" t="s">
        <v>118</v>
      </c>
    </row>
    <row r="14" spans="1:4">
      <c r="A14" s="8">
        <v>438413</v>
      </c>
      <c r="B14" s="9" t="s">
        <v>123</v>
      </c>
      <c r="C14" s="10">
        <v>4800000000</v>
      </c>
      <c r="D14" s="9" t="s">
        <v>125</v>
      </c>
    </row>
    <row r="15" spans="1:4">
      <c r="A15" s="8">
        <v>474938</v>
      </c>
      <c r="B15" s="9" t="s">
        <v>127</v>
      </c>
      <c r="C15" s="10">
        <v>2200000000</v>
      </c>
      <c r="D15" s="9" t="s">
        <v>128</v>
      </c>
    </row>
    <row r="16" spans="1:4">
      <c r="A16" s="8">
        <v>511462</v>
      </c>
      <c r="B16" s="9" t="s">
        <v>130</v>
      </c>
      <c r="C16" s="10">
        <v>1450000000</v>
      </c>
      <c r="D16" s="9" t="s">
        <v>132</v>
      </c>
    </row>
    <row r="17" spans="1:4">
      <c r="A17" s="8">
        <v>767132</v>
      </c>
      <c r="B17" s="9" t="s">
        <v>135</v>
      </c>
      <c r="C17" s="10">
        <v>24850000000</v>
      </c>
      <c r="D17" s="9" t="s">
        <v>136</v>
      </c>
    </row>
    <row r="18" spans="1:4">
      <c r="A18" s="16"/>
      <c r="B18" s="18" t="s">
        <v>138</v>
      </c>
      <c r="C18" s="21">
        <f>SUM(C8:C17)</f>
        <v>94200000000</v>
      </c>
      <c r="D18" s="18" t="s">
        <v>141</v>
      </c>
    </row>
    <row r="19" spans="1:4">
      <c r="A19" s="29"/>
      <c r="B19" s="19"/>
      <c r="C19" s="22"/>
      <c r="D19" s="19"/>
    </row>
    <row r="20" spans="1:4" ht="15.75" customHeight="1">
      <c r="A20" s="30"/>
      <c r="B20" s="31" t="s">
        <v>143</v>
      </c>
      <c r="C20" s="34">
        <f>C7-C18</f>
        <v>12800000000</v>
      </c>
      <c r="D20" s="31" t="s">
        <v>148</v>
      </c>
    </row>
    <row r="21" spans="1:4">
      <c r="A21" s="29"/>
      <c r="B21" s="19"/>
      <c r="C21" s="22"/>
      <c r="D21" s="19"/>
    </row>
    <row r="22" spans="1:4" ht="15.75" customHeight="1">
      <c r="A22" s="55" t="s">
        <v>150</v>
      </c>
      <c r="B22" s="56"/>
      <c r="C22" s="56"/>
      <c r="D22" s="56"/>
    </row>
    <row r="23" spans="1:4">
      <c r="A23" s="5" t="s">
        <v>2</v>
      </c>
      <c r="B23" s="5" t="s">
        <v>152</v>
      </c>
      <c r="C23" s="35" t="s">
        <v>153</v>
      </c>
      <c r="D23" s="5" t="s">
        <v>156</v>
      </c>
    </row>
    <row r="24" spans="1:4">
      <c r="A24" s="37" t="s">
        <v>160</v>
      </c>
      <c r="B24" s="32" t="s">
        <v>162</v>
      </c>
      <c r="C24" s="38"/>
      <c r="D24" s="33"/>
    </row>
    <row r="25" spans="1:4">
      <c r="A25" s="8" t="s">
        <v>163</v>
      </c>
      <c r="B25" s="9" t="s">
        <v>164</v>
      </c>
      <c r="C25" s="10">
        <v>8500000000</v>
      </c>
      <c r="D25" s="9" t="s">
        <v>165</v>
      </c>
    </row>
    <row r="26" spans="1:4" ht="12.75">
      <c r="A26" s="8" t="s">
        <v>167</v>
      </c>
      <c r="B26" s="9" t="s">
        <v>168</v>
      </c>
      <c r="C26" s="10">
        <v>6800000000</v>
      </c>
      <c r="D26" s="9" t="s">
        <v>170</v>
      </c>
    </row>
    <row r="27" spans="1:4" ht="12.75">
      <c r="A27" s="8" t="s">
        <v>172</v>
      </c>
      <c r="B27" s="9" t="s">
        <v>173</v>
      </c>
      <c r="C27" s="10">
        <v>5400000000</v>
      </c>
      <c r="D27" s="9" t="s">
        <v>175</v>
      </c>
    </row>
    <row r="28" spans="1:4" ht="12.75">
      <c r="A28" s="29"/>
      <c r="B28" s="19"/>
      <c r="C28" s="22"/>
      <c r="D28" s="19"/>
    </row>
    <row r="29" spans="1:4" ht="12.75">
      <c r="A29" s="41"/>
      <c r="B29" s="42" t="s">
        <v>177</v>
      </c>
      <c r="C29" s="43">
        <f>SUM(C25:C27)</f>
        <v>20700000000</v>
      </c>
      <c r="D29" s="42" t="s">
        <v>187</v>
      </c>
    </row>
    <row r="30" spans="1:4" ht="12.75">
      <c r="A30" s="37">
        <v>36526</v>
      </c>
      <c r="B30" s="32" t="s">
        <v>188</v>
      </c>
      <c r="C30" s="38"/>
      <c r="D30" s="33"/>
    </row>
    <row r="31" spans="1:4" ht="12.75">
      <c r="A31" s="8">
        <v>73051</v>
      </c>
      <c r="B31" s="9" t="s">
        <v>192</v>
      </c>
      <c r="C31" s="10">
        <v>42000000000</v>
      </c>
      <c r="D31" s="9" t="s">
        <v>194</v>
      </c>
    </row>
    <row r="32" spans="1:4" ht="12.75">
      <c r="A32" s="8">
        <v>109575</v>
      </c>
      <c r="B32" s="9" t="s">
        <v>195</v>
      </c>
      <c r="C32" s="10">
        <v>28000000000</v>
      </c>
      <c r="D32" s="9" t="s">
        <v>196</v>
      </c>
    </row>
    <row r="33" spans="1:4" ht="12.75">
      <c r="A33" s="8">
        <v>146099</v>
      </c>
      <c r="B33" s="9" t="s">
        <v>198</v>
      </c>
      <c r="C33" s="10">
        <v>-16200000000</v>
      </c>
      <c r="D33" s="9" t="s">
        <v>200</v>
      </c>
    </row>
    <row r="34" spans="1:4" ht="12.75">
      <c r="A34" s="29"/>
      <c r="B34" s="19"/>
      <c r="C34" s="22"/>
      <c r="D34" s="19"/>
    </row>
    <row r="35" spans="1:4" ht="12.75">
      <c r="A35" s="41"/>
      <c r="B35" s="42" t="s">
        <v>204</v>
      </c>
      <c r="C35" s="43">
        <f>SUM(C31:C33)</f>
        <v>53800000000</v>
      </c>
      <c r="D35" s="42" t="s">
        <v>206</v>
      </c>
    </row>
    <row r="36" spans="1:4" ht="15">
      <c r="A36" s="45"/>
      <c r="B36" s="46" t="s">
        <v>211</v>
      </c>
      <c r="C36" s="47">
        <f>C29+C35</f>
        <v>74500000000</v>
      </c>
      <c r="D36" s="46" t="s">
        <v>216</v>
      </c>
    </row>
    <row r="37" spans="1:4" ht="12.75">
      <c r="A37" s="37" t="s">
        <v>218</v>
      </c>
      <c r="B37" s="32" t="s">
        <v>219</v>
      </c>
      <c r="C37" s="38"/>
      <c r="D37" s="33"/>
    </row>
    <row r="38" spans="1:4" ht="12.75">
      <c r="A38" s="8" t="s">
        <v>224</v>
      </c>
      <c r="B38" s="9" t="s">
        <v>225</v>
      </c>
      <c r="C38" s="10">
        <v>6200000000</v>
      </c>
      <c r="D38" s="9" t="s">
        <v>226</v>
      </c>
    </row>
    <row r="39" spans="1:4" ht="12.75">
      <c r="A39" s="8" t="s">
        <v>227</v>
      </c>
      <c r="B39" s="9" t="s">
        <v>228</v>
      </c>
      <c r="C39" s="10">
        <v>1150000000</v>
      </c>
      <c r="D39" s="9" t="s">
        <v>229</v>
      </c>
    </row>
    <row r="40" spans="1:4" ht="12.75">
      <c r="A40" s="8" t="s">
        <v>231</v>
      </c>
      <c r="B40" s="9" t="s">
        <v>232</v>
      </c>
      <c r="C40" s="10">
        <v>120000000</v>
      </c>
      <c r="D40" s="9" t="s">
        <v>234</v>
      </c>
    </row>
    <row r="41" spans="1:4" ht="12.75">
      <c r="A41" s="8" t="s">
        <v>235</v>
      </c>
      <c r="B41" s="9" t="s">
        <v>236</v>
      </c>
      <c r="C41" s="10">
        <v>4800000000</v>
      </c>
      <c r="D41" s="9" t="s">
        <v>238</v>
      </c>
    </row>
    <row r="42" spans="1:4" ht="12.75">
      <c r="A42" s="41"/>
      <c r="B42" s="42" t="s">
        <v>239</v>
      </c>
      <c r="C42" s="43">
        <f>SUM(C38:C41)</f>
        <v>12270000000</v>
      </c>
      <c r="D42" s="42" t="s">
        <v>240</v>
      </c>
    </row>
    <row r="43" spans="1:4" ht="12.75">
      <c r="A43" s="37" t="s">
        <v>241</v>
      </c>
      <c r="B43" s="32" t="s">
        <v>242</v>
      </c>
      <c r="C43" s="38"/>
      <c r="D43" s="33"/>
    </row>
    <row r="44" spans="1:4" ht="12.75">
      <c r="A44" s="8" t="s">
        <v>243</v>
      </c>
      <c r="B44" s="9" t="s">
        <v>244</v>
      </c>
      <c r="C44" s="10">
        <v>50000000000</v>
      </c>
      <c r="D44" s="9" t="s">
        <v>245</v>
      </c>
    </row>
    <row r="45" spans="1:4" ht="12.75">
      <c r="A45" s="8" t="s">
        <v>247</v>
      </c>
      <c r="B45" s="9" t="s">
        <v>249</v>
      </c>
      <c r="C45" s="10">
        <v>26650000000</v>
      </c>
      <c r="D45" s="9" t="s">
        <v>250</v>
      </c>
    </row>
    <row r="46" spans="1:4" ht="12.75">
      <c r="A46" s="41"/>
      <c r="B46" s="42" t="s">
        <v>251</v>
      </c>
      <c r="C46" s="43">
        <f>SUM(C44:C45)</f>
        <v>76650000000</v>
      </c>
      <c r="D46" s="42" t="s">
        <v>252</v>
      </c>
    </row>
    <row r="47" spans="1:4" ht="15">
      <c r="A47" s="45"/>
      <c r="B47" s="46" t="s">
        <v>253</v>
      </c>
      <c r="C47" s="47">
        <f>C42+C46</f>
        <v>88920000000</v>
      </c>
      <c r="D47" s="46" t="s">
        <v>257</v>
      </c>
    </row>
    <row r="48" spans="1:4" ht="12.75">
      <c r="A48" s="48"/>
      <c r="B48" s="49" t="s">
        <v>259</v>
      </c>
      <c r="C48" s="50">
        <f>C36-C47</f>
        <v>-14420000000</v>
      </c>
      <c r="D48" s="49" t="s">
        <v>261</v>
      </c>
    </row>
    <row r="49" spans="1:4" ht="12.75">
      <c r="A49" s="48"/>
      <c r="B49" s="49" t="s">
        <v>262</v>
      </c>
      <c r="C49" s="50" t="str">
        <f>IF(C48=0, "BALANCE", "SELISIH (PERLU AUDIT)")</f>
        <v>SELISIH (PERLU AUDIT)</v>
      </c>
      <c r="D49" s="49" t="s">
        <v>263</v>
      </c>
    </row>
    <row r="50" spans="1:4" ht="12.75">
      <c r="A50" s="29"/>
      <c r="B50" s="19"/>
      <c r="C50" s="22"/>
      <c r="D50" s="19"/>
    </row>
  </sheetData>
  <mergeCells count="1">
    <mergeCell ref="A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5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11.42578125" customWidth="1"/>
    <col min="2" max="2" width="26.42578125" customWidth="1"/>
    <col min="3" max="3" width="18.28515625" customWidth="1"/>
    <col min="4" max="4" width="25.140625" customWidth="1"/>
    <col min="5" max="6" width="20.140625" customWidth="1"/>
    <col min="7" max="7" width="21.42578125" customWidth="1"/>
    <col min="8" max="8" width="18.85546875" customWidth="1"/>
    <col min="9" max="9" width="35.140625" customWidth="1"/>
  </cols>
  <sheetData>
    <row r="1" spans="1:9" ht="15.75" customHeight="1">
      <c r="A1" s="2" t="s">
        <v>1</v>
      </c>
      <c r="B1" s="4"/>
      <c r="C1" s="4"/>
      <c r="D1" s="4"/>
      <c r="E1" s="4"/>
      <c r="F1" s="4"/>
      <c r="G1" s="4"/>
      <c r="H1" s="4"/>
      <c r="I1" s="4"/>
    </row>
    <row r="2" spans="1:9">
      <c r="A2" s="6" t="s">
        <v>7</v>
      </c>
      <c r="B2" s="7"/>
      <c r="C2" s="7"/>
      <c r="D2" s="7"/>
      <c r="E2" s="7"/>
      <c r="F2" s="7"/>
      <c r="G2" s="7"/>
      <c r="H2" s="7"/>
      <c r="I2" s="7"/>
    </row>
    <row r="3" spans="1:9">
      <c r="A3" s="5" t="s">
        <v>12</v>
      </c>
      <c r="B3" s="5" t="s">
        <v>16</v>
      </c>
      <c r="C3" s="5" t="s">
        <v>19</v>
      </c>
      <c r="D3" s="5" t="s">
        <v>22</v>
      </c>
      <c r="E3" s="5" t="s">
        <v>24</v>
      </c>
      <c r="F3" s="5" t="s">
        <v>28</v>
      </c>
      <c r="G3" s="5" t="s">
        <v>31</v>
      </c>
      <c r="H3" s="5" t="s">
        <v>33</v>
      </c>
      <c r="I3" s="5" t="s">
        <v>36</v>
      </c>
    </row>
    <row r="4" spans="1:9">
      <c r="A4" s="11" t="s">
        <v>41</v>
      </c>
      <c r="B4" s="9" t="s">
        <v>45</v>
      </c>
      <c r="C4" s="11" t="s">
        <v>47</v>
      </c>
      <c r="D4" s="9" t="s">
        <v>49</v>
      </c>
      <c r="E4" s="10">
        <v>1440000000</v>
      </c>
      <c r="F4" s="10">
        <v>45000000</v>
      </c>
      <c r="G4" s="10">
        <v>118800000</v>
      </c>
      <c r="H4" s="10">
        <v>108000000</v>
      </c>
      <c r="I4" s="9" t="s">
        <v>55</v>
      </c>
    </row>
    <row r="5" spans="1:9">
      <c r="A5" s="11" t="s">
        <v>60</v>
      </c>
      <c r="B5" s="9" t="s">
        <v>62</v>
      </c>
      <c r="C5" s="11" t="s">
        <v>65</v>
      </c>
      <c r="D5" s="9" t="s">
        <v>66</v>
      </c>
      <c r="E5" s="10">
        <v>960000000</v>
      </c>
      <c r="F5" s="10">
        <v>0</v>
      </c>
      <c r="G5" s="10">
        <v>124800000</v>
      </c>
      <c r="H5" s="10">
        <v>124800000</v>
      </c>
      <c r="I5" s="9" t="s">
        <v>68</v>
      </c>
    </row>
    <row r="6" spans="1:9">
      <c r="A6" s="11" t="s">
        <v>70</v>
      </c>
      <c r="B6" s="9" t="s">
        <v>72</v>
      </c>
      <c r="C6" s="11" t="s">
        <v>47</v>
      </c>
      <c r="D6" s="9" t="s">
        <v>49</v>
      </c>
      <c r="E6" s="10">
        <v>2100000000</v>
      </c>
      <c r="F6" s="10">
        <v>0</v>
      </c>
      <c r="G6" s="10">
        <v>183750000</v>
      </c>
      <c r="H6" s="10">
        <v>157500000</v>
      </c>
      <c r="I6" s="9" t="s">
        <v>76</v>
      </c>
    </row>
    <row r="7" spans="1:9">
      <c r="A7" s="11" t="s">
        <v>77</v>
      </c>
      <c r="B7" s="9" t="s">
        <v>78</v>
      </c>
      <c r="C7" s="11" t="s">
        <v>47</v>
      </c>
      <c r="D7" s="9" t="s">
        <v>49</v>
      </c>
      <c r="E7" s="10">
        <v>680000000</v>
      </c>
      <c r="F7" s="10">
        <v>60000000</v>
      </c>
      <c r="G7" s="10">
        <v>44400000</v>
      </c>
      <c r="H7" s="10">
        <v>34000000</v>
      </c>
      <c r="I7" s="9" t="s">
        <v>79</v>
      </c>
    </row>
    <row r="8" spans="1:9">
      <c r="A8" s="11" t="s">
        <v>80</v>
      </c>
      <c r="B8" s="9" t="s">
        <v>81</v>
      </c>
      <c r="C8" s="11" t="s">
        <v>82</v>
      </c>
      <c r="D8" s="9" t="s">
        <v>83</v>
      </c>
      <c r="E8" s="10">
        <v>520000000</v>
      </c>
      <c r="F8" s="10">
        <v>28600000</v>
      </c>
      <c r="G8" s="10">
        <v>26000000</v>
      </c>
      <c r="H8" s="10">
        <v>26000000</v>
      </c>
      <c r="I8" s="9" t="s">
        <v>84</v>
      </c>
    </row>
    <row r="9" spans="1:9">
      <c r="A9" s="19"/>
      <c r="B9" s="19"/>
      <c r="C9" s="19"/>
      <c r="D9" s="19"/>
      <c r="E9" s="22"/>
      <c r="F9" s="22"/>
      <c r="G9" s="22"/>
      <c r="H9" s="22"/>
      <c r="I9" s="19"/>
    </row>
    <row r="10" spans="1:9">
      <c r="A10" s="18" t="s">
        <v>92</v>
      </c>
      <c r="B10" s="18" t="s">
        <v>93</v>
      </c>
      <c r="C10" s="24"/>
      <c r="D10" s="24"/>
      <c r="E10" s="21">
        <f t="shared" ref="E10:H10" si="0">SUM(E4:E8)</f>
        <v>5700000000</v>
      </c>
      <c r="F10" s="21">
        <f t="shared" si="0"/>
        <v>133600000</v>
      </c>
      <c r="G10" s="21">
        <f t="shared" si="0"/>
        <v>497750000</v>
      </c>
      <c r="H10" s="21">
        <f t="shared" si="0"/>
        <v>450300000</v>
      </c>
      <c r="I10" s="18" t="s">
        <v>145</v>
      </c>
    </row>
    <row r="11" spans="1:9">
      <c r="A11" s="19"/>
      <c r="B11" s="19"/>
      <c r="C11" s="19"/>
      <c r="D11" s="19"/>
      <c r="E11" s="19"/>
      <c r="F11" s="19"/>
      <c r="G11" s="19"/>
      <c r="H11" s="19"/>
      <c r="I11" s="19"/>
    </row>
    <row r="12" spans="1:9">
      <c r="A12" s="32" t="s">
        <v>149</v>
      </c>
      <c r="B12" s="33"/>
      <c r="C12" s="33"/>
      <c r="D12" s="33"/>
      <c r="E12" s="33"/>
      <c r="F12" s="33"/>
      <c r="G12" s="33"/>
      <c r="H12" s="33"/>
      <c r="I12" s="33"/>
    </row>
    <row r="13" spans="1:9">
      <c r="A13" s="57" t="s">
        <v>154</v>
      </c>
      <c r="B13" s="56"/>
      <c r="C13" s="39">
        <f>'Laporan Keuangan'!C8</f>
        <v>18500000000</v>
      </c>
      <c r="D13" s="40" t="s">
        <v>166</v>
      </c>
      <c r="E13" s="57" t="s">
        <v>169</v>
      </c>
      <c r="F13" s="56"/>
      <c r="G13" s="56"/>
      <c r="H13" s="56"/>
      <c r="I13" s="56"/>
    </row>
    <row r="14" spans="1:9">
      <c r="A14" s="57" t="s">
        <v>174</v>
      </c>
      <c r="B14" s="56"/>
      <c r="C14" s="39">
        <f>E10</f>
        <v>5700000000</v>
      </c>
      <c r="D14" s="40" t="s">
        <v>178</v>
      </c>
      <c r="E14" s="57" t="s">
        <v>180</v>
      </c>
      <c r="F14" s="56"/>
      <c r="G14" s="56"/>
      <c r="H14" s="56"/>
      <c r="I14" s="56"/>
    </row>
    <row r="15" spans="1:9">
      <c r="A15" s="57" t="s">
        <v>182</v>
      </c>
      <c r="B15" s="56"/>
      <c r="C15" s="39">
        <f>'Laporan Keuangan'!C8-E10</f>
        <v>12800000000</v>
      </c>
      <c r="D15" s="40" t="s">
        <v>189</v>
      </c>
      <c r="E15" s="57" t="s">
        <v>191</v>
      </c>
      <c r="F15" s="56"/>
      <c r="G15" s="56"/>
      <c r="H15" s="56"/>
      <c r="I15" s="56"/>
    </row>
    <row r="16" spans="1:9">
      <c r="A16" s="57" t="s">
        <v>193</v>
      </c>
      <c r="B16" s="56"/>
      <c r="C16" s="39">
        <f>H10</f>
        <v>450300000</v>
      </c>
      <c r="D16" s="40" t="s">
        <v>197</v>
      </c>
      <c r="E16" s="57" t="s">
        <v>199</v>
      </c>
      <c r="F16" s="56"/>
      <c r="G16" s="56"/>
      <c r="H16" s="56"/>
      <c r="I16" s="56"/>
    </row>
    <row r="17" spans="1:9">
      <c r="A17" s="19"/>
      <c r="B17" s="19"/>
      <c r="C17" s="19"/>
      <c r="D17" s="19"/>
      <c r="E17" s="19"/>
      <c r="F17" s="19"/>
      <c r="G17" s="19"/>
      <c r="H17" s="19"/>
      <c r="I17" s="19"/>
    </row>
    <row r="18" spans="1:9">
      <c r="A18" s="19"/>
      <c r="B18" s="19"/>
      <c r="C18" s="19"/>
      <c r="D18" s="19"/>
      <c r="E18" s="19"/>
      <c r="F18" s="19"/>
      <c r="G18" s="19"/>
      <c r="H18" s="19"/>
      <c r="I18" s="19"/>
    </row>
    <row r="19" spans="1:9">
      <c r="A19" s="19"/>
      <c r="B19" s="19"/>
      <c r="C19" s="19"/>
      <c r="D19" s="19"/>
      <c r="E19" s="19"/>
      <c r="F19" s="19"/>
      <c r="G19" s="19"/>
      <c r="H19" s="19"/>
      <c r="I19" s="19"/>
    </row>
    <row r="20" spans="1:9">
      <c r="A20" s="19"/>
      <c r="B20" s="19"/>
      <c r="C20" s="19"/>
      <c r="D20" s="19"/>
      <c r="E20" s="19"/>
      <c r="F20" s="19"/>
      <c r="G20" s="19"/>
      <c r="H20" s="19"/>
      <c r="I20" s="19"/>
    </row>
    <row r="21" spans="1:9">
      <c r="A21" s="19"/>
      <c r="B21" s="19"/>
      <c r="C21" s="19"/>
      <c r="D21" s="19"/>
      <c r="E21" s="19"/>
      <c r="F21" s="19"/>
      <c r="G21" s="19"/>
      <c r="H21" s="19"/>
      <c r="I21" s="19"/>
    </row>
    <row r="22" spans="1:9">
      <c r="A22" s="19"/>
      <c r="B22" s="19"/>
      <c r="C22" s="19"/>
      <c r="D22" s="19"/>
      <c r="E22" s="19"/>
      <c r="F22" s="19"/>
      <c r="G22" s="19"/>
      <c r="H22" s="19"/>
      <c r="I22" s="19"/>
    </row>
    <row r="23" spans="1:9">
      <c r="A23" s="19"/>
      <c r="B23" s="19"/>
      <c r="C23" s="19"/>
      <c r="D23" s="19"/>
      <c r="E23" s="19"/>
      <c r="F23" s="19"/>
      <c r="G23" s="19"/>
      <c r="H23" s="19"/>
      <c r="I23" s="19"/>
    </row>
    <row r="24" spans="1:9">
      <c r="A24" s="19"/>
      <c r="B24" s="19"/>
      <c r="C24" s="19"/>
      <c r="D24" s="19"/>
      <c r="E24" s="19"/>
      <c r="F24" s="19"/>
      <c r="G24" s="19"/>
      <c r="H24" s="19"/>
      <c r="I24" s="19"/>
    </row>
    <row r="25" spans="1:9">
      <c r="A25" s="19"/>
      <c r="B25" s="19"/>
      <c r="C25" s="19"/>
      <c r="D25" s="19"/>
      <c r="E25" s="19"/>
      <c r="F25" s="19"/>
      <c r="G25" s="19"/>
      <c r="H25" s="19"/>
      <c r="I25" s="19"/>
    </row>
  </sheetData>
  <mergeCells count="8">
    <mergeCell ref="A16:B16"/>
    <mergeCell ref="E16:I16"/>
    <mergeCell ref="A13:B13"/>
    <mergeCell ref="E13:I13"/>
    <mergeCell ref="A14:B14"/>
    <mergeCell ref="E14:I14"/>
    <mergeCell ref="A15:B15"/>
    <mergeCell ref="E15:I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5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15.140625" customWidth="1"/>
    <col min="2" max="2" width="17.5703125" customWidth="1"/>
    <col min="3" max="3" width="30.140625" customWidth="1"/>
    <col min="4" max="4" width="21.42578125" customWidth="1"/>
    <col min="5" max="5" width="22.5703125" customWidth="1"/>
    <col min="6" max="6" width="11.42578125" customWidth="1"/>
    <col min="7" max="7" width="17.5703125" customWidth="1"/>
    <col min="8" max="8" width="35.140625" customWidth="1"/>
  </cols>
  <sheetData>
    <row r="1" spans="1:8" ht="15.75" customHeight="1">
      <c r="A1" s="2" t="s">
        <v>1</v>
      </c>
      <c r="B1" s="4"/>
      <c r="C1" s="4"/>
      <c r="D1" s="4"/>
      <c r="E1" s="4"/>
      <c r="F1" s="4"/>
      <c r="G1" s="4"/>
      <c r="H1" s="4"/>
    </row>
    <row r="2" spans="1:8">
      <c r="A2" s="6" t="s">
        <v>6</v>
      </c>
      <c r="B2" s="7"/>
      <c r="C2" s="7"/>
      <c r="D2" s="7"/>
      <c r="E2" s="7"/>
      <c r="F2" s="7"/>
      <c r="G2" s="7"/>
      <c r="H2" s="7"/>
    </row>
    <row r="3" spans="1:8">
      <c r="A3" s="5" t="s">
        <v>10</v>
      </c>
      <c r="B3" s="5" t="s">
        <v>13</v>
      </c>
      <c r="C3" s="5" t="s">
        <v>15</v>
      </c>
      <c r="D3" s="5" t="s">
        <v>18</v>
      </c>
      <c r="E3" s="5" t="s">
        <v>20</v>
      </c>
      <c r="F3" s="5" t="s">
        <v>23</v>
      </c>
      <c r="G3" s="5" t="s">
        <v>26</v>
      </c>
      <c r="H3" s="5" t="s">
        <v>30</v>
      </c>
    </row>
    <row r="4" spans="1:8">
      <c r="A4" s="11" t="s">
        <v>34</v>
      </c>
      <c r="B4" s="9" t="s">
        <v>42</v>
      </c>
      <c r="C4" s="9" t="s">
        <v>44</v>
      </c>
      <c r="D4" s="10">
        <v>45000000</v>
      </c>
      <c r="E4" s="9" t="s">
        <v>50</v>
      </c>
      <c r="F4" s="13">
        <v>0</v>
      </c>
      <c r="G4" s="10">
        <v>0</v>
      </c>
      <c r="H4" s="9" t="s">
        <v>54</v>
      </c>
    </row>
    <row r="5" spans="1:8">
      <c r="A5" s="11" t="s">
        <v>58</v>
      </c>
      <c r="B5" s="9" t="s">
        <v>61</v>
      </c>
      <c r="C5" s="9" t="s">
        <v>63</v>
      </c>
      <c r="D5" s="10">
        <v>28000000</v>
      </c>
      <c r="E5" s="9" t="s">
        <v>50</v>
      </c>
      <c r="F5" s="13">
        <v>0</v>
      </c>
      <c r="G5" s="10">
        <v>0</v>
      </c>
      <c r="H5" s="9" t="s">
        <v>67</v>
      </c>
    </row>
    <row r="6" spans="1:8">
      <c r="A6" s="12" t="s">
        <v>69</v>
      </c>
      <c r="B6" s="14" t="s">
        <v>73</v>
      </c>
      <c r="C6" s="14" t="s">
        <v>74</v>
      </c>
      <c r="D6" s="15">
        <v>18000000</v>
      </c>
      <c r="E6" s="14" t="s">
        <v>75</v>
      </c>
      <c r="F6" s="17">
        <v>0.11</v>
      </c>
      <c r="G6" s="20">
        <f t="shared" ref="G6:G7" si="0">D6*F6</f>
        <v>1980000</v>
      </c>
      <c r="H6" s="14" t="s">
        <v>100</v>
      </c>
    </row>
    <row r="7" spans="1:8">
      <c r="A7" s="11" t="s">
        <v>102</v>
      </c>
      <c r="B7" s="9" t="s">
        <v>104</v>
      </c>
      <c r="C7" s="9" t="s">
        <v>105</v>
      </c>
      <c r="D7" s="10">
        <v>12000000</v>
      </c>
      <c r="E7" s="9" t="s">
        <v>107</v>
      </c>
      <c r="F7" s="13">
        <v>0.11</v>
      </c>
      <c r="G7" s="22">
        <f t="shared" si="0"/>
        <v>1320000</v>
      </c>
      <c r="H7" s="9" t="s">
        <v>114</v>
      </c>
    </row>
    <row r="8" spans="1:8">
      <c r="A8" s="11" t="s">
        <v>117</v>
      </c>
      <c r="B8" s="9" t="s">
        <v>119</v>
      </c>
      <c r="C8" s="9" t="s">
        <v>121</v>
      </c>
      <c r="D8" s="10">
        <v>85000000</v>
      </c>
      <c r="E8" s="9" t="s">
        <v>50</v>
      </c>
      <c r="F8" s="13">
        <v>0</v>
      </c>
      <c r="G8" s="10">
        <v>0</v>
      </c>
      <c r="H8" s="9" t="s">
        <v>126</v>
      </c>
    </row>
    <row r="9" spans="1:8">
      <c r="A9" s="19"/>
      <c r="B9" s="19"/>
      <c r="C9" s="19"/>
      <c r="D9" s="22"/>
      <c r="E9" s="19"/>
      <c r="F9" s="19"/>
      <c r="G9" s="22"/>
      <c r="H9" s="19"/>
    </row>
    <row r="10" spans="1:8">
      <c r="A10" s="18" t="s">
        <v>92</v>
      </c>
      <c r="B10" s="18" t="s">
        <v>137</v>
      </c>
      <c r="C10" s="24"/>
      <c r="D10" s="21">
        <f>SUM(D4:D8)</f>
        <v>188000000</v>
      </c>
      <c r="E10" s="24"/>
      <c r="F10" s="24"/>
      <c r="G10" s="21">
        <f>SUM(G4:G8)</f>
        <v>3300000</v>
      </c>
      <c r="H10" s="18" t="s">
        <v>142</v>
      </c>
    </row>
    <row r="11" spans="1:8">
      <c r="A11" s="19"/>
      <c r="B11" s="19"/>
      <c r="C11" s="19"/>
      <c r="D11" s="19"/>
      <c r="E11" s="19"/>
      <c r="F11" s="19"/>
      <c r="G11" s="19"/>
      <c r="H11" s="19"/>
    </row>
    <row r="12" spans="1:8">
      <c r="A12" s="32" t="s">
        <v>144</v>
      </c>
      <c r="B12" s="33"/>
      <c r="C12" s="33"/>
      <c r="D12" s="33"/>
      <c r="E12" s="33"/>
      <c r="F12" s="33"/>
      <c r="G12" s="33"/>
      <c r="H12" s="33"/>
    </row>
    <row r="13" spans="1:8">
      <c r="A13" s="57" t="s">
        <v>146</v>
      </c>
      <c r="B13" s="56"/>
      <c r="C13" s="56"/>
      <c r="D13" s="36">
        <f>SUMIFS(D4:D8, E4:E8, "Bebas PPN (080)")</f>
        <v>158000000</v>
      </c>
      <c r="E13" s="57" t="s">
        <v>157</v>
      </c>
      <c r="F13" s="56"/>
      <c r="G13" s="36">
        <v>0</v>
      </c>
      <c r="H13" s="9" t="s">
        <v>159</v>
      </c>
    </row>
    <row r="14" spans="1:8">
      <c r="A14" s="57" t="s">
        <v>161</v>
      </c>
      <c r="B14" s="56"/>
      <c r="C14" s="56"/>
      <c r="D14" s="39">
        <f>SUMIFS(D4:D8, E4:E8, "Terutang PPN (010)")</f>
        <v>12000000</v>
      </c>
      <c r="E14" s="57" t="s">
        <v>171</v>
      </c>
      <c r="F14" s="56"/>
      <c r="G14" s="39">
        <f>SUMIFS(G4:G8, E4:E8, "Terutang PPN (010)")</f>
        <v>1320000</v>
      </c>
      <c r="H14" s="9" t="s">
        <v>179</v>
      </c>
    </row>
    <row r="15" spans="1:8">
      <c r="A15" s="58" t="s">
        <v>181</v>
      </c>
      <c r="B15" s="56"/>
      <c r="C15" s="56"/>
      <c r="D15" s="44">
        <f>SUMIFS(D4:D8, E4:E8, "Belum Diterbitkan (HIGH RISK)")</f>
        <v>18000000</v>
      </c>
      <c r="E15" s="58" t="s">
        <v>190</v>
      </c>
      <c r="F15" s="56"/>
      <c r="G15" s="44">
        <f>SUMIFS(G4:G8, E4:E8, "Belum Diterbitkan (HIGH RISK)")</f>
        <v>1980000</v>
      </c>
      <c r="H15" s="14" t="s">
        <v>201</v>
      </c>
    </row>
    <row r="16" spans="1:8">
      <c r="A16" s="57" t="s">
        <v>202</v>
      </c>
      <c r="B16" s="56"/>
      <c r="C16" s="56"/>
      <c r="D16" s="39">
        <f>D14+D15</f>
        <v>30000000</v>
      </c>
      <c r="E16" s="57" t="s">
        <v>205</v>
      </c>
      <c r="F16" s="56"/>
      <c r="G16" s="39">
        <f>G14+G15</f>
        <v>3300000</v>
      </c>
      <c r="H16" s="9" t="s">
        <v>208</v>
      </c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32" t="s">
        <v>213</v>
      </c>
      <c r="B18" s="33"/>
      <c r="C18" s="33"/>
      <c r="D18" s="33"/>
      <c r="E18" s="33"/>
      <c r="F18" s="33"/>
      <c r="G18" s="33"/>
      <c r="H18" s="33"/>
    </row>
    <row r="19" spans="1:8">
      <c r="A19" s="57" t="s">
        <v>214</v>
      </c>
      <c r="B19" s="56"/>
      <c r="C19" s="56"/>
      <c r="D19" s="36">
        <f>'Laporan Keuangan'!C4</f>
        <v>32000000000</v>
      </c>
      <c r="E19" s="57" t="s">
        <v>217</v>
      </c>
      <c r="F19" s="56"/>
      <c r="G19" s="56"/>
      <c r="H19" s="9" t="s">
        <v>220</v>
      </c>
    </row>
    <row r="20" spans="1:8">
      <c r="A20" s="57" t="s">
        <v>222</v>
      </c>
      <c r="B20" s="56"/>
      <c r="C20" s="56"/>
      <c r="D20" s="36">
        <f>'Laporan Keuangan'!C41</f>
        <v>4800000000</v>
      </c>
      <c r="E20" s="57" t="s">
        <v>230</v>
      </c>
      <c r="F20" s="56"/>
      <c r="G20" s="56"/>
      <c r="H20" s="9" t="s">
        <v>233</v>
      </c>
    </row>
    <row r="21" spans="1:8">
      <c r="A21" s="19"/>
      <c r="B21" s="19"/>
      <c r="C21" s="19"/>
      <c r="D21" s="19"/>
      <c r="E21" s="19"/>
      <c r="F21" s="19"/>
      <c r="G21" s="19"/>
      <c r="H21" s="19"/>
    </row>
    <row r="22" spans="1:8">
      <c r="A22" s="19"/>
      <c r="B22" s="19"/>
      <c r="C22" s="19"/>
      <c r="D22" s="19"/>
      <c r="E22" s="19"/>
      <c r="F22" s="19"/>
      <c r="G22" s="19"/>
      <c r="H22" s="19"/>
    </row>
    <row r="23" spans="1:8">
      <c r="A23" s="19"/>
      <c r="B23" s="19"/>
      <c r="C23" s="19"/>
      <c r="D23" s="19"/>
      <c r="E23" s="19"/>
      <c r="F23" s="19"/>
      <c r="G23" s="19"/>
      <c r="H23" s="19"/>
    </row>
    <row r="24" spans="1:8">
      <c r="A24" s="19"/>
      <c r="B24" s="19"/>
      <c r="C24" s="19"/>
      <c r="D24" s="19"/>
      <c r="E24" s="19"/>
      <c r="F24" s="19"/>
      <c r="G24" s="19"/>
      <c r="H24" s="19"/>
    </row>
    <row r="25" spans="1:8">
      <c r="A25" s="19"/>
      <c r="B25" s="19"/>
      <c r="C25" s="19"/>
      <c r="D25" s="19"/>
      <c r="E25" s="19"/>
      <c r="F25" s="19"/>
      <c r="G25" s="19"/>
      <c r="H25" s="19"/>
    </row>
  </sheetData>
  <mergeCells count="12">
    <mergeCell ref="A13:C13"/>
    <mergeCell ref="E13:F13"/>
    <mergeCell ref="A14:C14"/>
    <mergeCell ref="E14:F14"/>
    <mergeCell ref="A15:C15"/>
    <mergeCell ref="E15:F15"/>
    <mergeCell ref="A16:C16"/>
    <mergeCell ref="A19:C19"/>
    <mergeCell ref="E19:G19"/>
    <mergeCell ref="A20:C20"/>
    <mergeCell ref="E20:G20"/>
    <mergeCell ref="E16:F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5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/>
  <cols>
    <col min="1" max="1" width="16.42578125" customWidth="1"/>
    <col min="2" max="2" width="25.140625" customWidth="1"/>
    <col min="3" max="3" width="30.140625" customWidth="1"/>
    <col min="4" max="4" width="21.42578125" customWidth="1"/>
    <col min="5" max="5" width="17.5703125" customWidth="1"/>
    <col min="6" max="6" width="20.140625" customWidth="1"/>
    <col min="7" max="7" width="23.85546875" customWidth="1"/>
    <col min="8" max="8" width="18.85546875" customWidth="1"/>
    <col min="9" max="9" width="35.140625" customWidth="1"/>
  </cols>
  <sheetData>
    <row r="1" spans="1:9" ht="15.75" customHeight="1">
      <c r="A1" s="2" t="s">
        <v>1</v>
      </c>
      <c r="B1" s="4"/>
      <c r="C1" s="4"/>
      <c r="D1" s="4"/>
      <c r="E1" s="4"/>
      <c r="F1" s="4"/>
      <c r="G1" s="4"/>
      <c r="H1" s="4"/>
      <c r="I1" s="4"/>
    </row>
    <row r="2" spans="1:9">
      <c r="A2" s="6" t="s">
        <v>8</v>
      </c>
      <c r="B2" s="7"/>
      <c r="C2" s="7"/>
      <c r="D2" s="7"/>
      <c r="E2" s="7"/>
      <c r="F2" s="7"/>
      <c r="G2" s="7"/>
      <c r="H2" s="7"/>
      <c r="I2" s="7"/>
    </row>
    <row r="3" spans="1:9">
      <c r="A3" s="5" t="s">
        <v>14</v>
      </c>
      <c r="B3" s="5" t="s">
        <v>17</v>
      </c>
      <c r="C3" s="5" t="s">
        <v>21</v>
      </c>
      <c r="D3" s="5" t="s">
        <v>25</v>
      </c>
      <c r="E3" s="5" t="s">
        <v>29</v>
      </c>
      <c r="F3" s="5" t="s">
        <v>32</v>
      </c>
      <c r="G3" s="5" t="s">
        <v>35</v>
      </c>
      <c r="H3" s="5" t="s">
        <v>38</v>
      </c>
      <c r="I3" s="5" t="s">
        <v>40</v>
      </c>
    </row>
    <row r="4" spans="1:9">
      <c r="A4" s="12" t="s">
        <v>46</v>
      </c>
      <c r="B4" s="14" t="s">
        <v>53</v>
      </c>
      <c r="C4" s="14" t="s">
        <v>57</v>
      </c>
      <c r="D4" s="15">
        <v>150000000</v>
      </c>
      <c r="E4" s="17">
        <v>0.02</v>
      </c>
      <c r="F4" s="20">
        <f t="shared" ref="F4:F7" si="0">D4*E4</f>
        <v>3000000</v>
      </c>
      <c r="G4" s="14" t="s">
        <v>85</v>
      </c>
      <c r="H4" s="14" t="s">
        <v>86</v>
      </c>
      <c r="I4" s="14" t="s">
        <v>88</v>
      </c>
    </row>
    <row r="5" spans="1:9">
      <c r="A5" s="23" t="s">
        <v>89</v>
      </c>
      <c r="B5" s="25" t="s">
        <v>95</v>
      </c>
      <c r="C5" s="25" t="s">
        <v>98</v>
      </c>
      <c r="D5" s="26">
        <v>2200000000</v>
      </c>
      <c r="E5" s="27">
        <v>0.02</v>
      </c>
      <c r="F5" s="28">
        <f t="shared" si="0"/>
        <v>44000000</v>
      </c>
      <c r="G5" s="25" t="s">
        <v>112</v>
      </c>
      <c r="H5" s="25" t="s">
        <v>113</v>
      </c>
      <c r="I5" s="25" t="s">
        <v>116</v>
      </c>
    </row>
    <row r="6" spans="1:9">
      <c r="A6" s="12" t="s">
        <v>120</v>
      </c>
      <c r="B6" s="14" t="s">
        <v>122</v>
      </c>
      <c r="C6" s="14" t="s">
        <v>124</v>
      </c>
      <c r="D6" s="15">
        <v>650000000</v>
      </c>
      <c r="E6" s="17">
        <v>0.02</v>
      </c>
      <c r="F6" s="20">
        <f t="shared" si="0"/>
        <v>13000000</v>
      </c>
      <c r="G6" s="14" t="s">
        <v>85</v>
      </c>
      <c r="H6" s="14" t="s">
        <v>86</v>
      </c>
      <c r="I6" s="14" t="s">
        <v>129</v>
      </c>
    </row>
    <row r="7" spans="1:9">
      <c r="A7" s="23" t="s">
        <v>131</v>
      </c>
      <c r="B7" s="25" t="s">
        <v>133</v>
      </c>
      <c r="C7" s="25" t="s">
        <v>134</v>
      </c>
      <c r="D7" s="26">
        <v>1150000000</v>
      </c>
      <c r="E7" s="27">
        <v>0.02</v>
      </c>
      <c r="F7" s="28">
        <f t="shared" si="0"/>
        <v>23000000</v>
      </c>
      <c r="G7" s="25" t="s">
        <v>112</v>
      </c>
      <c r="H7" s="25" t="s">
        <v>113</v>
      </c>
      <c r="I7" s="25" t="s">
        <v>139</v>
      </c>
    </row>
    <row r="8" spans="1:9">
      <c r="A8" s="19"/>
      <c r="B8" s="19"/>
      <c r="C8" s="19"/>
      <c r="D8" s="22"/>
      <c r="E8" s="19"/>
      <c r="F8" s="22"/>
      <c r="G8" s="19"/>
      <c r="H8" s="19"/>
      <c r="I8" s="19"/>
    </row>
    <row r="9" spans="1:9">
      <c r="A9" s="18" t="s">
        <v>92</v>
      </c>
      <c r="B9" s="18" t="s">
        <v>140</v>
      </c>
      <c r="C9" s="24"/>
      <c r="D9" s="21">
        <f>SUM(D4:D7)</f>
        <v>4150000000</v>
      </c>
      <c r="E9" s="24"/>
      <c r="F9" s="21">
        <f>SUM(F4:F7)</f>
        <v>83000000</v>
      </c>
      <c r="G9" s="24"/>
      <c r="H9" s="24"/>
      <c r="I9" s="18" t="s">
        <v>147</v>
      </c>
    </row>
    <row r="10" spans="1:9">
      <c r="A10" s="19"/>
      <c r="B10" s="19"/>
      <c r="C10" s="19"/>
      <c r="D10" s="19"/>
      <c r="E10" s="19"/>
      <c r="F10" s="19"/>
      <c r="G10" s="9" t="s">
        <v>151</v>
      </c>
      <c r="H10" s="9" t="s">
        <v>151</v>
      </c>
      <c r="I10" s="19"/>
    </row>
    <row r="11" spans="1:9">
      <c r="A11" s="32" t="s">
        <v>155</v>
      </c>
      <c r="B11" s="33"/>
      <c r="C11" s="33"/>
      <c r="D11" s="33"/>
      <c r="E11" s="33"/>
      <c r="F11" s="33"/>
      <c r="G11" s="33"/>
      <c r="H11" s="33"/>
      <c r="I11" s="33"/>
    </row>
    <row r="12" spans="1:9">
      <c r="A12" s="57" t="s">
        <v>158</v>
      </c>
      <c r="B12" s="56"/>
      <c r="C12" s="56"/>
      <c r="D12" s="39">
        <f>SUMIFS(D4:D7, G4:G7, "Dipotong 2% (Compliant)")</f>
        <v>3350000000</v>
      </c>
      <c r="E12" s="9" t="s">
        <v>176</v>
      </c>
      <c r="F12" s="39">
        <f>SUMIFS(F4:F7, G4:G7, "Dipotong 2% (Compliant)")</f>
        <v>67000000</v>
      </c>
      <c r="G12" s="9" t="s">
        <v>183</v>
      </c>
      <c r="H12" s="9" t="s">
        <v>184</v>
      </c>
      <c r="I12" s="9" t="s">
        <v>185</v>
      </c>
    </row>
    <row r="13" spans="1:9">
      <c r="A13" s="58" t="s">
        <v>186</v>
      </c>
      <c r="B13" s="56"/>
      <c r="C13" s="56"/>
      <c r="D13" s="44">
        <f>SUMIFS(D4:D7, G4:G7, "Belum Dipotong (HIGH RISK)")</f>
        <v>800000000</v>
      </c>
      <c r="E13" s="14" t="s">
        <v>203</v>
      </c>
      <c r="F13" s="44">
        <f>SUMIFS(F4:F7, G4:G7, "Belum Dipotong (HIGH RISK)")</f>
        <v>16000000</v>
      </c>
      <c r="G13" s="14" t="s">
        <v>207</v>
      </c>
      <c r="H13" s="14" t="s">
        <v>209</v>
      </c>
      <c r="I13" s="14" t="s">
        <v>210</v>
      </c>
    </row>
    <row r="14" spans="1:9">
      <c r="A14" s="57" t="s">
        <v>212</v>
      </c>
      <c r="B14" s="56"/>
      <c r="C14" s="56"/>
      <c r="D14" s="39">
        <f>D12+D13</f>
        <v>4150000000</v>
      </c>
      <c r="E14" s="9" t="s">
        <v>215</v>
      </c>
      <c r="F14" s="39">
        <f>F12+F13</f>
        <v>83000000</v>
      </c>
      <c r="G14" s="19"/>
      <c r="H14" s="19"/>
      <c r="I14" s="9" t="s">
        <v>221</v>
      </c>
    </row>
    <row r="15" spans="1:9">
      <c r="A15" s="57" t="s">
        <v>223</v>
      </c>
      <c r="B15" s="56"/>
      <c r="C15" s="56"/>
      <c r="D15" s="39">
        <f>'Laporan Keuangan'!C40</f>
        <v>120000000</v>
      </c>
      <c r="E15" s="57" t="s">
        <v>237</v>
      </c>
      <c r="F15" s="56"/>
      <c r="G15" s="59" t="str">
        <f>IF('Laporan Keuangan'!C40&gt;=F13, "Kewajiban Terakrual Cukup", "Kurang Akrual")</f>
        <v>Kewajiban Terakrual Cukup</v>
      </c>
      <c r="H15" s="56"/>
      <c r="I15" s="9" t="s">
        <v>246</v>
      </c>
    </row>
    <row r="16" spans="1:9">
      <c r="A16" s="57" t="s">
        <v>248</v>
      </c>
      <c r="B16" s="56"/>
      <c r="C16" s="56"/>
      <c r="D16" s="36">
        <f>'Laporan Keuangan'!C11+'Laporan Keuangan'!C12+'Laporan Keuangan'!C13</f>
        <v>6400000000</v>
      </c>
      <c r="E16" s="57" t="s">
        <v>254</v>
      </c>
      <c r="F16" s="56"/>
      <c r="G16" s="19"/>
      <c r="H16" s="19"/>
      <c r="I16" s="9" t="s">
        <v>255</v>
      </c>
    </row>
    <row r="17" spans="1:9">
      <c r="A17" s="57" t="s">
        <v>256</v>
      </c>
      <c r="B17" s="56"/>
      <c r="C17" s="56"/>
      <c r="D17" s="36">
        <f>D16-D14</f>
        <v>2250000000</v>
      </c>
      <c r="E17" s="57" t="s">
        <v>258</v>
      </c>
      <c r="F17" s="56"/>
      <c r="G17" s="19"/>
      <c r="H17" s="19"/>
      <c r="I17" s="9" t="s">
        <v>260</v>
      </c>
    </row>
    <row r="18" spans="1:9">
      <c r="A18" s="19"/>
      <c r="B18" s="19"/>
      <c r="C18" s="19"/>
      <c r="D18" s="19"/>
      <c r="E18" s="19"/>
      <c r="F18" s="19"/>
      <c r="G18" s="19"/>
      <c r="H18" s="19"/>
      <c r="I18" s="19"/>
    </row>
    <row r="19" spans="1:9">
      <c r="A19" s="19"/>
      <c r="B19" s="19"/>
      <c r="C19" s="19"/>
      <c r="D19" s="19"/>
      <c r="E19" s="19"/>
      <c r="F19" s="19"/>
      <c r="G19" s="19"/>
      <c r="H19" s="19"/>
      <c r="I19" s="19"/>
    </row>
    <row r="20" spans="1:9">
      <c r="A20" s="19"/>
      <c r="B20" s="19"/>
      <c r="C20" s="19"/>
      <c r="D20" s="19"/>
      <c r="E20" s="19"/>
      <c r="F20" s="19"/>
      <c r="G20" s="19"/>
      <c r="H20" s="19"/>
      <c r="I20" s="19"/>
    </row>
    <row r="21" spans="1:9">
      <c r="A21" s="19"/>
      <c r="B21" s="19"/>
      <c r="C21" s="19"/>
      <c r="D21" s="19"/>
      <c r="E21" s="19"/>
      <c r="F21" s="19"/>
      <c r="G21" s="19"/>
      <c r="H21" s="19"/>
      <c r="I21" s="19"/>
    </row>
    <row r="22" spans="1:9">
      <c r="A22" s="19"/>
      <c r="B22" s="19"/>
      <c r="C22" s="19"/>
      <c r="D22" s="19"/>
      <c r="E22" s="19"/>
      <c r="F22" s="19"/>
      <c r="G22" s="19"/>
      <c r="H22" s="19"/>
      <c r="I22" s="19"/>
    </row>
    <row r="23" spans="1:9">
      <c r="A23" s="19"/>
      <c r="B23" s="19"/>
      <c r="C23" s="19"/>
      <c r="D23" s="19"/>
      <c r="E23" s="19"/>
      <c r="F23" s="19"/>
      <c r="G23" s="19"/>
      <c r="H23" s="19"/>
      <c r="I23" s="19"/>
    </row>
    <row r="24" spans="1:9">
      <c r="A24" s="19"/>
      <c r="B24" s="19"/>
      <c r="C24" s="19"/>
      <c r="D24" s="19"/>
      <c r="E24" s="19"/>
      <c r="F24" s="19"/>
      <c r="G24" s="19"/>
      <c r="H24" s="19"/>
      <c r="I24" s="19"/>
    </row>
    <row r="25" spans="1:9">
      <c r="A25" s="19"/>
      <c r="B25" s="19"/>
      <c r="C25" s="19"/>
      <c r="D25" s="19"/>
      <c r="E25" s="19"/>
      <c r="F25" s="19"/>
      <c r="G25" s="19"/>
      <c r="H25" s="19"/>
      <c r="I25" s="19"/>
    </row>
  </sheetData>
  <mergeCells count="10">
    <mergeCell ref="G15:H15"/>
    <mergeCell ref="E16:F16"/>
    <mergeCell ref="A16:C16"/>
    <mergeCell ref="A17:C17"/>
    <mergeCell ref="E17:F17"/>
    <mergeCell ref="A12:C12"/>
    <mergeCell ref="A13:C13"/>
    <mergeCell ref="A14:C14"/>
    <mergeCell ref="A15:C15"/>
    <mergeCell ref="E15:F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5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/>
  <cols>
    <col min="1" max="1" width="22.5703125" customWidth="1"/>
    <col min="2" max="2" width="35.140625" customWidth="1"/>
    <col min="3" max="3" width="22.5703125" customWidth="1"/>
    <col min="4" max="4" width="21.42578125" customWidth="1"/>
    <col min="5" max="5" width="30.140625" customWidth="1"/>
    <col min="6" max="6" width="45.140625" customWidth="1"/>
    <col min="7" max="7" width="23.85546875" customWidth="1"/>
  </cols>
  <sheetData>
    <row r="1" spans="1:7" ht="15.75" customHeight="1">
      <c r="A1" s="2" t="s">
        <v>1</v>
      </c>
      <c r="B1" s="4"/>
      <c r="C1" s="4"/>
      <c r="D1" s="4"/>
      <c r="E1" s="4"/>
      <c r="F1" s="4"/>
      <c r="G1" s="4"/>
    </row>
    <row r="2" spans="1:7">
      <c r="A2" s="6" t="s">
        <v>264</v>
      </c>
      <c r="B2" s="7"/>
      <c r="C2" s="7"/>
      <c r="D2" s="7"/>
      <c r="E2" s="7"/>
      <c r="F2" s="7"/>
      <c r="G2" s="7"/>
    </row>
    <row r="3" spans="1:7">
      <c r="A3" s="32" t="s">
        <v>265</v>
      </c>
      <c r="B3" s="33"/>
      <c r="C3" s="33"/>
      <c r="D3" s="33"/>
      <c r="E3" s="33"/>
      <c r="F3" s="33"/>
      <c r="G3" s="33"/>
    </row>
    <row r="4" spans="1:7">
      <c r="A4" s="5" t="s">
        <v>266</v>
      </c>
      <c r="B4" s="5" t="s">
        <v>267</v>
      </c>
      <c r="C4" s="5" t="s">
        <v>153</v>
      </c>
      <c r="D4" s="5" t="s">
        <v>268</v>
      </c>
      <c r="E4" s="5" t="s">
        <v>269</v>
      </c>
      <c r="F4" s="5" t="s">
        <v>270</v>
      </c>
      <c r="G4" s="51"/>
    </row>
    <row r="5" spans="1:7">
      <c r="A5" s="9">
        <v>1</v>
      </c>
      <c r="B5" s="9" t="s">
        <v>148</v>
      </c>
      <c r="C5" s="22">
        <f>'Laporan Keuangan'!C20</f>
        <v>12800000000</v>
      </c>
      <c r="D5" s="9" t="s">
        <v>271</v>
      </c>
      <c r="E5" s="9" t="s">
        <v>272</v>
      </c>
      <c r="F5" s="9" t="s">
        <v>273</v>
      </c>
      <c r="G5" s="19"/>
    </row>
    <row r="6" spans="1:7">
      <c r="A6" s="9">
        <v>2</v>
      </c>
      <c r="B6" s="9" t="s">
        <v>274</v>
      </c>
      <c r="C6" s="22"/>
      <c r="D6" s="19"/>
      <c r="E6" s="19"/>
      <c r="F6" s="19"/>
      <c r="G6" s="19"/>
    </row>
    <row r="7" spans="1:7">
      <c r="A7" s="9" t="s">
        <v>275</v>
      </c>
      <c r="B7" s="9" t="s">
        <v>127</v>
      </c>
      <c r="C7" s="22">
        <f>'Laporan Keuangan'!C15</f>
        <v>2200000000</v>
      </c>
      <c r="D7" s="9" t="s">
        <v>276</v>
      </c>
      <c r="E7" s="9" t="s">
        <v>277</v>
      </c>
      <c r="F7" s="9" t="s">
        <v>278</v>
      </c>
      <c r="G7" s="19"/>
    </row>
    <row r="8" spans="1:7">
      <c r="A8" s="9" t="s">
        <v>279</v>
      </c>
      <c r="B8" s="9" t="s">
        <v>130</v>
      </c>
      <c r="C8" s="22">
        <f>'Laporan Keuangan'!C16</f>
        <v>1450000000</v>
      </c>
      <c r="D8" s="9" t="s">
        <v>276</v>
      </c>
      <c r="E8" s="9" t="s">
        <v>280</v>
      </c>
      <c r="F8" s="9" t="s">
        <v>281</v>
      </c>
      <c r="G8" s="19"/>
    </row>
    <row r="9" spans="1:7">
      <c r="A9" s="9">
        <v>3</v>
      </c>
      <c r="B9" s="9" t="s">
        <v>282</v>
      </c>
      <c r="C9" s="22">
        <f>C7+C8</f>
        <v>3650000000</v>
      </c>
      <c r="D9" s="9" t="s">
        <v>283</v>
      </c>
      <c r="E9" s="9" t="s">
        <v>284</v>
      </c>
      <c r="F9" s="9" t="s">
        <v>285</v>
      </c>
      <c r="G9" s="19"/>
    </row>
    <row r="10" spans="1:7">
      <c r="A10" s="9">
        <v>4</v>
      </c>
      <c r="B10" s="9" t="s">
        <v>286</v>
      </c>
      <c r="C10" s="22"/>
      <c r="D10" s="19"/>
      <c r="E10" s="19"/>
      <c r="F10" s="19"/>
      <c r="G10" s="19"/>
    </row>
    <row r="11" spans="1:7">
      <c r="A11" s="9" t="s">
        <v>275</v>
      </c>
      <c r="B11" s="9" t="s">
        <v>59</v>
      </c>
      <c r="C11" s="22">
        <f>'Laporan Keuangan'!C6</f>
        <v>1500000000</v>
      </c>
      <c r="D11" s="9" t="s">
        <v>287</v>
      </c>
      <c r="E11" s="9" t="s">
        <v>288</v>
      </c>
      <c r="F11" s="9" t="s">
        <v>289</v>
      </c>
      <c r="G11" s="19"/>
    </row>
    <row r="12" spans="1:7">
      <c r="A12" s="9">
        <v>5</v>
      </c>
      <c r="B12" s="9" t="s">
        <v>290</v>
      </c>
      <c r="C12" s="22">
        <f>C11</f>
        <v>1500000000</v>
      </c>
      <c r="D12" s="9" t="s">
        <v>291</v>
      </c>
      <c r="E12" s="9" t="s">
        <v>292</v>
      </c>
      <c r="F12" s="9" t="s">
        <v>293</v>
      </c>
      <c r="G12" s="19"/>
    </row>
    <row r="13" spans="1:7">
      <c r="A13" s="52">
        <v>6</v>
      </c>
      <c r="B13" s="52" t="s">
        <v>294</v>
      </c>
      <c r="C13" s="53">
        <f>C5+C9-C12</f>
        <v>14950000000</v>
      </c>
      <c r="D13" s="52" t="s">
        <v>295</v>
      </c>
      <c r="E13" s="52" t="s">
        <v>296</v>
      </c>
      <c r="F13" s="52" t="s">
        <v>297</v>
      </c>
      <c r="G13" s="54"/>
    </row>
    <row r="14" spans="1:7">
      <c r="A14" s="52">
        <v>7</v>
      </c>
      <c r="B14" s="52" t="s">
        <v>298</v>
      </c>
      <c r="C14" s="53">
        <f>C13*22%</f>
        <v>3289000000</v>
      </c>
      <c r="D14" s="52" t="s">
        <v>299</v>
      </c>
      <c r="E14" s="52" t="s">
        <v>300</v>
      </c>
      <c r="F14" s="52" t="s">
        <v>301</v>
      </c>
      <c r="G14" s="54"/>
    </row>
    <row r="15" spans="1:7">
      <c r="A15" s="19"/>
      <c r="B15" s="19"/>
      <c r="C15" s="19"/>
      <c r="D15" s="19"/>
      <c r="E15" s="19"/>
      <c r="F15" s="19"/>
      <c r="G15" s="19"/>
    </row>
    <row r="16" spans="1:7">
      <c r="A16" s="32" t="s">
        <v>302</v>
      </c>
      <c r="B16" s="33"/>
      <c r="C16" s="33"/>
      <c r="D16" s="33"/>
      <c r="E16" s="33"/>
      <c r="F16" s="33"/>
      <c r="G16" s="33"/>
    </row>
    <row r="17" spans="1:7">
      <c r="A17" s="5" t="s">
        <v>303</v>
      </c>
      <c r="B17" s="5" t="s">
        <v>304</v>
      </c>
      <c r="C17" s="5" t="s">
        <v>305</v>
      </c>
      <c r="D17" s="5" t="s">
        <v>306</v>
      </c>
      <c r="E17" s="5" t="s">
        <v>307</v>
      </c>
      <c r="F17" s="5" t="s">
        <v>308</v>
      </c>
      <c r="G17" s="5" t="s">
        <v>309</v>
      </c>
    </row>
    <row r="18" spans="1:7">
      <c r="A18" s="9" t="s">
        <v>310</v>
      </c>
      <c r="B18" s="22">
        <f>'Laporan Keuangan'!C8+'Laporan Keuangan'!C10</f>
        <v>32500000000</v>
      </c>
      <c r="C18" s="22">
        <f>'Sub-Ledger PPh 21 Dokter'!E10</f>
        <v>5700000000</v>
      </c>
      <c r="D18" s="22">
        <f>('Laporan Keuangan'!C8+'Laporan Keuangan'!C10)-'Sub-Ledger PPh 21 Dokter'!E10</f>
        <v>26800000000</v>
      </c>
      <c r="E18" s="22">
        <f>'Laporan Keuangan'!C39</f>
        <v>1150000000</v>
      </c>
      <c r="F18" s="9" t="s">
        <v>311</v>
      </c>
      <c r="G18" s="9" t="s">
        <v>312</v>
      </c>
    </row>
    <row r="19" spans="1:7">
      <c r="A19" s="9" t="s">
        <v>313</v>
      </c>
      <c r="B19" s="22">
        <f>'Laporan Keuangan'!C4</f>
        <v>32000000000</v>
      </c>
      <c r="C19" s="22">
        <f>'Sub-Ledger PPN Farmasi'!D10</f>
        <v>188000000</v>
      </c>
      <c r="D19" s="22">
        <f>'Laporan Keuangan'!C4-'Sub-Ledger PPN Farmasi'!D10</f>
        <v>31812000000</v>
      </c>
      <c r="E19" s="22">
        <f>'Laporan Keuangan'!C41</f>
        <v>4800000000</v>
      </c>
      <c r="F19" s="9" t="s">
        <v>314</v>
      </c>
      <c r="G19" s="9" t="s">
        <v>315</v>
      </c>
    </row>
    <row r="20" spans="1:7">
      <c r="A20" s="9" t="s">
        <v>316</v>
      </c>
      <c r="B20" s="22">
        <f>'Laporan Keuangan'!C11+'Laporan Keuangan'!C12+'Laporan Keuangan'!C13</f>
        <v>6400000000</v>
      </c>
      <c r="C20" s="22">
        <f>'Sub-Ledger PPh 23 Vendor'!D14</f>
        <v>4150000000</v>
      </c>
      <c r="D20" s="22">
        <f>B20-C20</f>
        <v>2250000000</v>
      </c>
      <c r="E20" s="22">
        <f>'Laporan Keuangan'!C40</f>
        <v>120000000</v>
      </c>
      <c r="F20" s="9" t="s">
        <v>317</v>
      </c>
      <c r="G20" s="9" t="s">
        <v>318</v>
      </c>
    </row>
    <row r="21" spans="1:7">
      <c r="A21" s="19"/>
      <c r="B21" s="19"/>
      <c r="C21" s="19"/>
      <c r="D21" s="19"/>
      <c r="E21" s="19"/>
      <c r="F21" s="19"/>
      <c r="G21" s="19"/>
    </row>
    <row r="22" spans="1:7">
      <c r="A22" s="32" t="s">
        <v>319</v>
      </c>
      <c r="B22" s="33"/>
      <c r="C22" s="33"/>
      <c r="D22" s="33"/>
      <c r="E22" s="33"/>
      <c r="F22" s="33"/>
      <c r="G22" s="33"/>
    </row>
    <row r="23" spans="1:7">
      <c r="A23" s="5" t="s">
        <v>266</v>
      </c>
      <c r="B23" s="5" t="s">
        <v>320</v>
      </c>
      <c r="C23" s="5" t="s">
        <v>321</v>
      </c>
      <c r="D23" s="5" t="s">
        <v>322</v>
      </c>
      <c r="E23" s="5" t="s">
        <v>323</v>
      </c>
      <c r="F23" s="5" t="s">
        <v>324</v>
      </c>
      <c r="G23" s="5" t="s">
        <v>325</v>
      </c>
    </row>
    <row r="24" spans="1:7">
      <c r="A24" s="9">
        <v>1</v>
      </c>
      <c r="B24" s="9" t="s">
        <v>326</v>
      </c>
      <c r="C24" s="9" t="s">
        <v>327</v>
      </c>
      <c r="D24" s="9" t="s">
        <v>328</v>
      </c>
      <c r="E24" s="9" t="s">
        <v>329</v>
      </c>
      <c r="F24" s="9" t="s">
        <v>330</v>
      </c>
      <c r="G24" s="9" t="s">
        <v>331</v>
      </c>
    </row>
    <row r="25" spans="1:7">
      <c r="A25" s="9">
        <v>2</v>
      </c>
      <c r="B25" s="9" t="s">
        <v>332</v>
      </c>
      <c r="C25" s="9" t="s">
        <v>333</v>
      </c>
      <c r="D25" s="9" t="s">
        <v>334</v>
      </c>
      <c r="E25" s="9" t="s">
        <v>335</v>
      </c>
      <c r="F25" s="9" t="s">
        <v>336</v>
      </c>
      <c r="G25" s="9" t="s">
        <v>337</v>
      </c>
    </row>
    <row r="26" spans="1:7">
      <c r="A26" s="9">
        <v>3</v>
      </c>
      <c r="B26" s="9" t="s">
        <v>338</v>
      </c>
      <c r="C26" s="9" t="s">
        <v>339</v>
      </c>
      <c r="D26" s="9" t="s">
        <v>340</v>
      </c>
      <c r="E26" s="9" t="s">
        <v>341</v>
      </c>
      <c r="F26" s="9" t="s">
        <v>342</v>
      </c>
      <c r="G26" s="9" t="s">
        <v>343</v>
      </c>
    </row>
    <row r="27" spans="1:7">
      <c r="A27" s="9">
        <v>4</v>
      </c>
      <c r="B27" s="9" t="s">
        <v>344</v>
      </c>
      <c r="C27" s="9" t="s">
        <v>345</v>
      </c>
      <c r="D27" s="9" t="s">
        <v>346</v>
      </c>
      <c r="E27" s="9" t="s">
        <v>347</v>
      </c>
      <c r="F27" s="9" t="s">
        <v>348</v>
      </c>
      <c r="G27" s="9" t="s">
        <v>349</v>
      </c>
    </row>
    <row r="28" spans="1:7" ht="12.75">
      <c r="A28" s="9">
        <v>5</v>
      </c>
      <c r="B28" s="9" t="s">
        <v>350</v>
      </c>
      <c r="C28" s="9" t="s">
        <v>351</v>
      </c>
      <c r="D28" s="9" t="s">
        <v>352</v>
      </c>
      <c r="E28" s="9" t="s">
        <v>353</v>
      </c>
      <c r="F28" s="9" t="s">
        <v>354</v>
      </c>
      <c r="G28" s="9" t="s">
        <v>355</v>
      </c>
    </row>
    <row r="29" spans="1:7" ht="12.75">
      <c r="A29" s="9">
        <v>6</v>
      </c>
      <c r="B29" s="9" t="s">
        <v>356</v>
      </c>
      <c r="C29" s="9" t="s">
        <v>357</v>
      </c>
      <c r="D29" s="9" t="s">
        <v>358</v>
      </c>
      <c r="E29" s="9" t="s">
        <v>359</v>
      </c>
      <c r="F29" s="9" t="s">
        <v>360</v>
      </c>
      <c r="G29" s="9" t="s">
        <v>361</v>
      </c>
    </row>
    <row r="30" spans="1:7" ht="12.75">
      <c r="A30" s="19"/>
      <c r="B30" s="19"/>
      <c r="C30" s="19"/>
      <c r="D30" s="19"/>
      <c r="E30" s="19"/>
      <c r="F30" s="19"/>
      <c r="G30" s="19"/>
    </row>
    <row r="31" spans="1:7" ht="12.75">
      <c r="A31" s="19"/>
      <c r="B31" s="19"/>
      <c r="C31" s="19"/>
      <c r="D31" s="19"/>
      <c r="E31" s="19"/>
      <c r="F31" s="19"/>
      <c r="G31" s="19"/>
    </row>
    <row r="32" spans="1:7" ht="12.75">
      <c r="A32" s="19"/>
      <c r="B32" s="19"/>
      <c r="C32" s="19"/>
      <c r="D32" s="19"/>
      <c r="E32" s="19"/>
      <c r="F32" s="19"/>
      <c r="G32" s="19"/>
    </row>
    <row r="33" spans="1:7" ht="12.75">
      <c r="A33" s="19"/>
      <c r="B33" s="19"/>
      <c r="C33" s="19"/>
      <c r="D33" s="19"/>
      <c r="E33" s="19"/>
      <c r="F33" s="19"/>
      <c r="G33" s="19"/>
    </row>
    <row r="34" spans="1:7" ht="12.75">
      <c r="A34" s="19"/>
      <c r="B34" s="19"/>
      <c r="C34" s="19"/>
      <c r="D34" s="19"/>
      <c r="E34" s="19"/>
      <c r="F34" s="19"/>
      <c r="G34" s="19"/>
    </row>
    <row r="35" spans="1:7" ht="12.75">
      <c r="A35" s="19"/>
      <c r="B35" s="19"/>
      <c r="C35" s="19"/>
      <c r="D35" s="19"/>
      <c r="E35" s="19"/>
      <c r="F35" s="19"/>
      <c r="G3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Laporan Keuangan</vt:lpstr>
      <vt:lpstr>Sub-Ledger PPh 21 Dokter</vt:lpstr>
      <vt:lpstr>Sub-Ledger PPN Farmasi</vt:lpstr>
      <vt:lpstr>Sub-Ledger PPh 23 Vendor</vt:lpstr>
      <vt:lpstr>Dokumen Pendukung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</dc:creator>
  <cp:lastModifiedBy>SPI</cp:lastModifiedBy>
  <dcterms:created xsi:type="dcterms:W3CDTF">2026-09-26T00:14:56Z</dcterms:created>
  <dcterms:modified xsi:type="dcterms:W3CDTF">2026-09-26T00:14:56Z</dcterms:modified>
</cp:coreProperties>
</file>